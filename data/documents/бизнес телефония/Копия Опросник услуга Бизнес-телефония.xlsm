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andr.Murdassov\Downloads\база данных документов\бизнес телефония\"/>
    </mc:Choice>
  </mc:AlternateContent>
  <xr:revisionPtr revIDLastSave="0" documentId="8_{CBC32630-1380-40B3-8A2C-15FD2E4408B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rosnik" sheetId="10" r:id="rId1"/>
    <sheet name="VPN_info" sheetId="4" state="hidden" r:id="rId2"/>
    <sheet name="Validation" sheetId="3" state="hidden" r:id="rId3"/>
  </sheets>
  <definedNames>
    <definedName name="_xlnm.Print_Area" localSheetId="0">Oprosnik!$B:$C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10" l="1"/>
  <c r="C2" i="3" l="1"/>
</calcChain>
</file>

<file path=xl/sharedStrings.xml><?xml version="1.0" encoding="utf-8"?>
<sst xmlns="http://schemas.openxmlformats.org/spreadsheetml/2006/main" count="444" uniqueCount="314">
  <si>
    <t>Внутренний план набора</t>
  </si>
  <si>
    <t>Наименование</t>
  </si>
  <si>
    <t>Параметры</t>
  </si>
  <si>
    <t>Дополнительная информация</t>
  </si>
  <si>
    <t>Name</t>
  </si>
  <si>
    <t>vpn.kcell.kz</t>
  </si>
  <si>
    <t>IP Address</t>
  </si>
  <si>
    <t>195.47.255.66</t>
  </si>
  <si>
    <t>CheckPoint</t>
  </si>
  <si>
    <t>Authentication Method</t>
  </si>
  <si>
    <t>Preshared keys (via SMS)</t>
  </si>
  <si>
    <t>IKE</t>
  </si>
  <si>
    <t>Diffie-Hellman Group</t>
  </si>
  <si>
    <t>Group2</t>
  </si>
  <si>
    <t>Cryptography Algorithm</t>
  </si>
  <si>
    <t>Hash Algorithm</t>
  </si>
  <si>
    <t>Main or Aggressive Mode</t>
  </si>
  <si>
    <t>Main</t>
  </si>
  <si>
    <t>Lifetime (for renegotiation)</t>
  </si>
  <si>
    <t>86400 sec</t>
  </si>
  <si>
    <t>g.711</t>
  </si>
  <si>
    <t>g.729</t>
  </si>
  <si>
    <t>1 поток - 30 сессий</t>
  </si>
  <si>
    <t>2 потока - 60 сессий</t>
  </si>
  <si>
    <t>3 потока - 90 сессий</t>
  </si>
  <si>
    <t>4 потока - 120 сессий</t>
  </si>
  <si>
    <t>Пожалуйста заполните</t>
  </si>
  <si>
    <t>Customer (Заказчик)</t>
  </si>
  <si>
    <t>Текст</t>
  </si>
  <si>
    <t>Выберите из списка</t>
  </si>
  <si>
    <t>Пожалуйста заполните, в случае ОКС7</t>
  </si>
  <si>
    <t>SHA1</t>
  </si>
  <si>
    <t>5060, 5061</t>
  </si>
  <si>
    <t>Один номер на компанию</t>
  </si>
  <si>
    <t>Один номер на каждого сотрудника</t>
  </si>
  <si>
    <t>Иное (просьба указать)</t>
  </si>
  <si>
    <t>Один номер на отдел (департамент, сектор)</t>
  </si>
  <si>
    <t>Приложу детализацию</t>
  </si>
  <si>
    <t>ДА</t>
  </si>
  <si>
    <t>НЕТ</t>
  </si>
  <si>
    <t>Входящий</t>
  </si>
  <si>
    <t>Исходящий</t>
  </si>
  <si>
    <t>виртуальная</t>
  </si>
  <si>
    <t>УАТС</t>
  </si>
  <si>
    <t>Гибридная</t>
  </si>
  <si>
    <t>Аналоговая</t>
  </si>
  <si>
    <t>Цифровая</t>
  </si>
  <si>
    <t xml:space="preserve">ЕСТЬ </t>
  </si>
  <si>
    <t>UDP</t>
  </si>
  <si>
    <t>TCP</t>
  </si>
  <si>
    <t>другой (указать)</t>
  </si>
  <si>
    <t xml:space="preserve">Входящий </t>
  </si>
  <si>
    <t>Комбинированнный</t>
  </si>
  <si>
    <t>Через интернет по протоколу SIP</t>
  </si>
  <si>
    <t>Прямое подключение по потоку Е1</t>
  </si>
  <si>
    <t>Затрудняюсь ответить</t>
  </si>
  <si>
    <t>G.729</t>
  </si>
  <si>
    <t>G.711</t>
  </si>
  <si>
    <t>Не нужен</t>
  </si>
  <si>
    <t>Входящие</t>
  </si>
  <si>
    <t>Исходящие</t>
  </si>
  <si>
    <t>1 поток - 30 сессии</t>
  </si>
  <si>
    <t>2 потока - 60 сессии</t>
  </si>
  <si>
    <t>3 потока - 90 сессии</t>
  </si>
  <si>
    <t>4 потока - 120 сессии</t>
  </si>
  <si>
    <t>2</t>
  </si>
  <si>
    <t>медиаконвертер</t>
  </si>
  <si>
    <t>виртуальная АТС</t>
  </si>
  <si>
    <t>Е1</t>
  </si>
  <si>
    <t>SIP</t>
  </si>
  <si>
    <t>E1 и SIP</t>
  </si>
  <si>
    <t>Нет свободных портов</t>
  </si>
  <si>
    <t>Заняты другим оператором</t>
  </si>
  <si>
    <t>Резервный канал не нужен</t>
  </si>
  <si>
    <t>Резервный канал SIP direct</t>
  </si>
  <si>
    <t>Резервный канал по потоку Е1</t>
  </si>
  <si>
    <t>Резервный канал через Internet по протоколу SIP</t>
  </si>
  <si>
    <t xml:space="preserve">Есть </t>
  </si>
  <si>
    <t>Нет</t>
  </si>
  <si>
    <t>Да</t>
  </si>
  <si>
    <t>Хочу рассмотреть предложение от Kcell</t>
  </si>
  <si>
    <t xml:space="preserve">Прямое подключение по протоколу SIP </t>
  </si>
  <si>
    <t>АТС</t>
  </si>
  <si>
    <t>Нет своей АТС</t>
  </si>
  <si>
    <t>Подключение через интернет канал по протоколу SIP</t>
  </si>
  <si>
    <t>Прямое подключение по потоку Е1 (30 каналов)</t>
  </si>
  <si>
    <t>Прямое подключение по протоколу SIP</t>
  </si>
  <si>
    <t>Только UDP</t>
  </si>
  <si>
    <t>Только TCP</t>
  </si>
  <si>
    <t>UDP и TCP</t>
  </si>
  <si>
    <r>
      <t>Контактное лицо</t>
    </r>
    <r>
      <rPr>
        <sz val="10"/>
        <color rgb="FFFF0000"/>
        <rFont val="Arial"/>
        <family val="2"/>
      </rPr>
      <t>*</t>
    </r>
  </si>
  <si>
    <r>
      <t>Контактный телефон</t>
    </r>
    <r>
      <rPr>
        <sz val="10"/>
        <color rgb="FFFF0000"/>
        <rFont val="Arial"/>
        <family val="2"/>
      </rPr>
      <t>*</t>
    </r>
  </si>
  <si>
    <r>
      <t>Доступ на входящие/исходящие звонки</t>
    </r>
    <r>
      <rPr>
        <sz val="10"/>
        <color rgb="FFFF0000"/>
        <rFont val="Arial"/>
        <family val="2"/>
      </rPr>
      <t>*</t>
    </r>
  </si>
  <si>
    <r>
      <t>Публичный статический IP для сигнализации</t>
    </r>
    <r>
      <rPr>
        <sz val="10"/>
        <color rgb="FFFF0000"/>
        <rFont val="Arial"/>
        <family val="2"/>
      </rPr>
      <t>*</t>
    </r>
  </si>
  <si>
    <r>
      <t>Публичный статический IP для голосового трафика</t>
    </r>
    <r>
      <rPr>
        <sz val="10"/>
        <color rgb="FFFF0000"/>
        <rFont val="Arial"/>
        <family val="2"/>
      </rPr>
      <t>*</t>
    </r>
  </si>
  <si>
    <r>
      <t>Протокол транспортного уровня</t>
    </r>
    <r>
      <rPr>
        <sz val="10"/>
        <color rgb="FFFF0000"/>
        <rFont val="Arial"/>
        <family val="2"/>
      </rPr>
      <t>*</t>
    </r>
  </si>
  <si>
    <r>
      <t>Порт для сигнализации</t>
    </r>
    <r>
      <rPr>
        <sz val="10"/>
        <color rgb="FFFF0000"/>
        <rFont val="Arial"/>
        <family val="2"/>
      </rPr>
      <t>*</t>
    </r>
  </si>
  <si>
    <r>
      <t>Порт для голосового трафика</t>
    </r>
    <r>
      <rPr>
        <sz val="10"/>
        <color rgb="FFFF0000"/>
        <rFont val="Arial"/>
        <family val="2"/>
      </rPr>
      <t>*</t>
    </r>
  </si>
  <si>
    <r>
      <t>Количество необходимых сессий (одновременных разговоров)</t>
    </r>
    <r>
      <rPr>
        <sz val="10"/>
        <color rgb="FFFF0000"/>
        <rFont val="Arial"/>
        <family val="2"/>
      </rPr>
      <t>*</t>
    </r>
  </si>
  <si>
    <r>
      <t>Предпочтительное кодирование</t>
    </r>
    <r>
      <rPr>
        <sz val="10"/>
        <color rgb="FFFF0000"/>
        <rFont val="Arial"/>
        <family val="2"/>
      </rPr>
      <t>*</t>
    </r>
  </si>
  <si>
    <r>
      <t>Требуется ли настройка VPN?</t>
    </r>
    <r>
      <rPr>
        <sz val="10"/>
        <color rgb="FFFF0000"/>
        <rFont val="Arial"/>
        <family val="2"/>
      </rPr>
      <t>*</t>
    </r>
  </si>
  <si>
    <r>
      <t>Количество подключаемых потоков E1</t>
    </r>
    <r>
      <rPr>
        <sz val="10"/>
        <color rgb="FFFF0000"/>
        <rFont val="Arial"/>
        <family val="2"/>
      </rPr>
      <t>*</t>
    </r>
  </si>
  <si>
    <r>
      <t>Point Code (при соединении через ОКС-7)</t>
    </r>
    <r>
      <rPr>
        <sz val="10"/>
        <color rgb="FFFF0000"/>
        <rFont val="Arial"/>
        <family val="2"/>
      </rPr>
      <t>*</t>
    </r>
  </si>
  <si>
    <r>
      <t>Поддержка ОКС-7</t>
    </r>
    <r>
      <rPr>
        <sz val="10"/>
        <color rgb="FFFF0000"/>
        <rFont val="Arial"/>
        <family val="2"/>
      </rPr>
      <t>*</t>
    </r>
  </si>
  <si>
    <r>
      <t>Поддержка EDSS-1</t>
    </r>
    <r>
      <rPr>
        <sz val="10"/>
        <color rgb="FFFF0000"/>
        <rFont val="Arial"/>
        <family val="2"/>
      </rPr>
      <t>*</t>
    </r>
  </si>
  <si>
    <r>
      <t>Количество необходимых сессий</t>
    </r>
    <r>
      <rPr>
        <sz val="10"/>
        <color rgb="FFFF0000"/>
        <rFont val="Arial"/>
        <family val="2"/>
      </rPr>
      <t>*</t>
    </r>
  </si>
  <si>
    <t>Технические условия</t>
  </si>
  <si>
    <t>Заказчик</t>
  </si>
  <si>
    <t xml:space="preserve">Информация об оборудовании </t>
  </si>
  <si>
    <t>Входящие и исходящие</t>
  </si>
  <si>
    <t>Нет, мне требуется внешняя помощь</t>
  </si>
  <si>
    <r>
      <t>Тип подключаемого оборудования</t>
    </r>
    <r>
      <rPr>
        <sz val="10"/>
        <color rgb="FFFF0000"/>
        <rFont val="Arial"/>
        <family val="2"/>
      </rPr>
      <t>*</t>
    </r>
  </si>
  <si>
    <t>Виртуальная АТС</t>
  </si>
  <si>
    <t>Аналоговая АТС</t>
  </si>
  <si>
    <t>Цифровая АТС</t>
  </si>
  <si>
    <t>Гибридная АТС</t>
  </si>
  <si>
    <t>Медиаконвертер</t>
  </si>
  <si>
    <t>Нет оборудования</t>
  </si>
  <si>
    <r>
      <t>Контактный Email (для тестовых настроек)</t>
    </r>
    <r>
      <rPr>
        <sz val="10"/>
        <color rgb="FFFF0000"/>
        <rFont val="Arial"/>
        <family val="2"/>
      </rPr>
      <t>*</t>
    </r>
  </si>
  <si>
    <r>
      <t>Производитель оборудования</t>
    </r>
    <r>
      <rPr>
        <sz val="10"/>
        <color rgb="FFFF0000"/>
        <rFont val="Arial"/>
        <family val="2"/>
      </rPr>
      <t>*</t>
    </r>
  </si>
  <si>
    <r>
      <t>Модель оборудования</t>
    </r>
    <r>
      <rPr>
        <sz val="10"/>
        <color rgb="FFFF0000"/>
        <rFont val="Arial"/>
        <family val="2"/>
      </rPr>
      <t>*</t>
    </r>
  </si>
  <si>
    <r>
      <t>Город, где находится оборудование</t>
    </r>
    <r>
      <rPr>
        <sz val="10"/>
        <color rgb="FFFF0000"/>
        <rFont val="Arial"/>
        <family val="2"/>
      </rPr>
      <t>*</t>
    </r>
  </si>
  <si>
    <t>Координаты оборудования</t>
  </si>
  <si>
    <t>Укажите число</t>
  </si>
  <si>
    <t>Другое</t>
  </si>
  <si>
    <r>
      <t>Доступ на исходящие звонки на межнар. направления</t>
    </r>
    <r>
      <rPr>
        <sz val="10"/>
        <color rgb="FFFF0000"/>
        <rFont val="Arial"/>
        <family val="2"/>
      </rPr>
      <t>*</t>
    </r>
  </si>
  <si>
    <t>Требования к услуге</t>
  </si>
  <si>
    <t>Type</t>
  </si>
  <si>
    <t>MSS/MGW</t>
  </si>
  <si>
    <t>AXE-810</t>
  </si>
  <si>
    <t>MGW</t>
  </si>
  <si>
    <t>MSS</t>
  </si>
  <si>
    <t>SBC</t>
  </si>
  <si>
    <t>г.Абай</t>
  </si>
  <si>
    <t>г.Акколь</t>
  </si>
  <si>
    <t>г.Аксай</t>
  </si>
  <si>
    <t>г.Аксу</t>
  </si>
  <si>
    <t>г.Актау</t>
  </si>
  <si>
    <t>г.Актюбинск</t>
  </si>
  <si>
    <t>г.Алга</t>
  </si>
  <si>
    <t>г.Алматы</t>
  </si>
  <si>
    <t>г.Аральск</t>
  </si>
  <si>
    <t>г.Аркалык</t>
  </si>
  <si>
    <t>г.Арыс</t>
  </si>
  <si>
    <t>г.Астана</t>
  </si>
  <si>
    <t>г.Атбасар</t>
  </si>
  <si>
    <t>г.Атырау</t>
  </si>
  <si>
    <t>г.Аягуз</t>
  </si>
  <si>
    <t>г.Байконур</t>
  </si>
  <si>
    <t>г.Балхаш</t>
  </si>
  <si>
    <t>г.Булаево</t>
  </si>
  <si>
    <t>г.Державинск</t>
  </si>
  <si>
    <t>г.Ерейментау</t>
  </si>
  <si>
    <t>г.Есик</t>
  </si>
  <si>
    <t>г.Есиль</t>
  </si>
  <si>
    <t>г.Жанаозен</t>
  </si>
  <si>
    <t>г.Жанатас</t>
  </si>
  <si>
    <t>г.Жаркент</t>
  </si>
  <si>
    <t>г.Жезказган</t>
  </si>
  <si>
    <t>г.Жем</t>
  </si>
  <si>
    <t>г.Жетысай</t>
  </si>
  <si>
    <t>г.Житикара</t>
  </si>
  <si>
    <t>г.Зайсан</t>
  </si>
  <si>
    <t>г.Зыряновск</t>
  </si>
  <si>
    <t>г.Казалинск</t>
  </si>
  <si>
    <t>г.Кандыагаш</t>
  </si>
  <si>
    <t>г.Капчагай</t>
  </si>
  <si>
    <t>г.Караганда</t>
  </si>
  <si>
    <t>г.Каражал</t>
  </si>
  <si>
    <t>г.Каратау</t>
  </si>
  <si>
    <t>г.Каркаралинск</t>
  </si>
  <si>
    <t>г.Каскелен</t>
  </si>
  <si>
    <t>г.Кентау</t>
  </si>
  <si>
    <t>г.Кокшетау</t>
  </si>
  <si>
    <t>г.Костанай</t>
  </si>
  <si>
    <t>г.Кульсары</t>
  </si>
  <si>
    <t>г.Курчатов</t>
  </si>
  <si>
    <t>г.Кызылорда</t>
  </si>
  <si>
    <t>г.Ленгер</t>
  </si>
  <si>
    <t>г.Лисаковск</t>
  </si>
  <si>
    <t>г.Макинск</t>
  </si>
  <si>
    <t>г.Мамлютка</t>
  </si>
  <si>
    <t>г.Павлодар</t>
  </si>
  <si>
    <t>г.Петропавловск</t>
  </si>
  <si>
    <t>г.Приозёрск</t>
  </si>
  <si>
    <t>г.Риддер</t>
  </si>
  <si>
    <t>г.Рудный</t>
  </si>
  <si>
    <t>г.Сарань</t>
  </si>
  <si>
    <t>г.Сарканд</t>
  </si>
  <si>
    <t>г.Сарыагаш</t>
  </si>
  <si>
    <t>г.Сатпаев</t>
  </si>
  <si>
    <t>г.Семей</t>
  </si>
  <si>
    <t>г.Сергеевка</t>
  </si>
  <si>
    <t>г.Серебрянск</t>
  </si>
  <si>
    <t>г.Степногорск</t>
  </si>
  <si>
    <t>г.Степняк</t>
  </si>
  <si>
    <t>г.Тайынша</t>
  </si>
  <si>
    <t>г.Талгар</t>
  </si>
  <si>
    <t>г.Талдыкорган</t>
  </si>
  <si>
    <t>г.Тараз</t>
  </si>
  <si>
    <t>г.Текели</t>
  </si>
  <si>
    <t>г.Темир</t>
  </si>
  <si>
    <t>г.Темиртау</t>
  </si>
  <si>
    <t>г.Туркестан</t>
  </si>
  <si>
    <t>г.Уральск</t>
  </si>
  <si>
    <t>г.Усть-Каменогорск</t>
  </si>
  <si>
    <t>г.Учарал</t>
  </si>
  <si>
    <t>г.Уштобе</t>
  </si>
  <si>
    <t>г.Форт-Шевченко</t>
  </si>
  <si>
    <t>г.Хромтау</t>
  </si>
  <si>
    <t>г.Чардара</t>
  </si>
  <si>
    <t>г.Шалкар</t>
  </si>
  <si>
    <t>г.Шар</t>
  </si>
  <si>
    <t>г.Шахтинск</t>
  </si>
  <si>
    <t>г.Шемонаиха</t>
  </si>
  <si>
    <t>г.Шу</t>
  </si>
  <si>
    <t>г.Шымкент</t>
  </si>
  <si>
    <t>г.Щучинск</t>
  </si>
  <si>
    <t>г.Экибастуз</t>
  </si>
  <si>
    <t>Данные технического специалиста</t>
  </si>
  <si>
    <r>
      <t>Выберите тип подключения</t>
    </r>
    <r>
      <rPr>
        <sz val="14"/>
        <color rgb="FFFF0000"/>
        <rFont val="Arial"/>
        <family val="2"/>
        <charset val="204"/>
      </rPr>
      <t>*</t>
    </r>
  </si>
  <si>
    <t>Yes</t>
  </si>
  <si>
    <t>No</t>
  </si>
  <si>
    <t>amount of symbols</t>
  </si>
  <si>
    <r>
      <t>Минимальная ёмкость канала связи</t>
    </r>
    <r>
      <rPr>
        <sz val="10"/>
        <color rgb="FFFF0000"/>
        <rFont val="Arial"/>
        <family val="2"/>
      </rPr>
      <t>*</t>
    </r>
  </si>
  <si>
    <t>Информация о заказчике</t>
  </si>
  <si>
    <t>Стандарт 11+</t>
  </si>
  <si>
    <t>MP30</t>
  </si>
  <si>
    <t>MP50</t>
  </si>
  <si>
    <t>Специальный тариф</t>
  </si>
  <si>
    <t>Ответ</t>
  </si>
  <si>
    <r>
      <t>Количество необходимых виртуальных номеров</t>
    </r>
    <r>
      <rPr>
        <sz val="10"/>
        <color rgb="FFFF0000"/>
        <rFont val="Arial"/>
        <family val="2"/>
      </rPr>
      <t>*</t>
    </r>
  </si>
  <si>
    <t>Новый клиент</t>
  </si>
  <si>
    <t>Пересмотр тарифа</t>
  </si>
  <si>
    <t>БИН</t>
  </si>
  <si>
    <t>Юридическое название</t>
  </si>
  <si>
    <t>Город регистрации компании</t>
  </si>
  <si>
    <t>Пересмотр тех условий</t>
  </si>
  <si>
    <t>Экономическая выгода</t>
  </si>
  <si>
    <t>Связь для колл-центра</t>
  </si>
  <si>
    <t>Тендер</t>
  </si>
  <si>
    <t>Ценовое предложение</t>
  </si>
  <si>
    <t>Из одного источника</t>
  </si>
  <si>
    <t>на 1 год</t>
  </si>
  <si>
    <t>более 2-х лет</t>
  </si>
  <si>
    <t>Бессрочный, до расторжения сторонами</t>
  </si>
  <si>
    <t>Нет колл-центра</t>
  </si>
  <si>
    <t>Исходящий колл-центр</t>
  </si>
  <si>
    <t>Входящий и исходящий колл-центр</t>
  </si>
  <si>
    <t>Входящий колл-центр</t>
  </si>
  <si>
    <t>Tunnel Properties</t>
  </si>
  <si>
    <t>Encapsulation (ESP or AH)</t>
  </si>
  <si>
    <t>Perfect Forward Secrecy</t>
  </si>
  <si>
    <t>Lifesize in KB (for renegotiation)</t>
  </si>
  <si>
    <t>ESP</t>
  </si>
  <si>
    <t>-</t>
  </si>
  <si>
    <t>3600 sec</t>
  </si>
  <si>
    <t>SIP-авторизация (доступ по стат. IP c лог/пар)</t>
  </si>
  <si>
    <t>SIP-транк (доступ по стат. IP)</t>
  </si>
  <si>
    <t>(Данный документ заполняется заказчиком)</t>
  </si>
  <si>
    <r>
      <t>Адрес (Улица, дом, этаж, где находится оборудование)</t>
    </r>
    <r>
      <rPr>
        <sz val="10"/>
        <color rgb="FFFF0000"/>
        <rFont val="Arial"/>
        <family val="2"/>
        <charset val="204"/>
      </rPr>
      <t>*</t>
    </r>
  </si>
  <si>
    <r>
      <t>Требования к доступу</t>
    </r>
    <r>
      <rPr>
        <sz val="10"/>
        <color rgb="FFFF0000"/>
        <rFont val="Arial"/>
        <family val="2"/>
        <charset val="204"/>
      </rPr>
      <t>*</t>
    </r>
  </si>
  <si>
    <t>Contact Information</t>
  </si>
  <si>
    <t>Primary</t>
  </si>
  <si>
    <t>Email Address</t>
  </si>
  <si>
    <t>Phone Number</t>
  </si>
  <si>
    <t>Cellphone Number</t>
  </si>
  <si>
    <t>Technologies-IT-ITP-EDN@kcell.kz</t>
  </si>
  <si>
    <t>Контактное лицо</t>
  </si>
  <si>
    <r>
      <t>Контактный Email (для получения счет фактур и детализации)</t>
    </r>
    <r>
      <rPr>
        <sz val="10"/>
        <color rgb="FFFF0000"/>
        <rFont val="Arial"/>
        <family val="2"/>
      </rPr>
      <t>*</t>
    </r>
  </si>
  <si>
    <r>
      <t>Юридическое название</t>
    </r>
    <r>
      <rPr>
        <sz val="10"/>
        <color rgb="FFFF0000"/>
        <rFont val="Arial"/>
        <family val="2"/>
      </rPr>
      <t>*</t>
    </r>
  </si>
  <si>
    <r>
      <t>Юридический адрес</t>
    </r>
    <r>
      <rPr>
        <sz val="10"/>
        <color rgb="FFFF0000"/>
        <rFont val="Arial"/>
        <family val="2"/>
        <charset val="204"/>
      </rPr>
      <t>*</t>
    </r>
  </si>
  <si>
    <r>
      <t>БИН</t>
    </r>
    <r>
      <rPr>
        <sz val="10"/>
        <color rgb="FFFF0000"/>
        <rFont val="Arial"/>
        <family val="2"/>
        <charset val="204"/>
      </rPr>
      <t>*</t>
    </r>
  </si>
  <si>
    <r>
      <t>IBAN</t>
    </r>
    <r>
      <rPr>
        <sz val="10"/>
        <color rgb="FFFF0000"/>
        <rFont val="Arial"/>
        <family val="2"/>
      </rPr>
      <t>*</t>
    </r>
  </si>
  <si>
    <r>
      <t>SWIFT</t>
    </r>
    <r>
      <rPr>
        <sz val="10"/>
        <color rgb="FFFF0000"/>
        <rFont val="Arial"/>
        <family val="2"/>
      </rPr>
      <t>*</t>
    </r>
  </si>
  <si>
    <r>
      <t>Кбе</t>
    </r>
    <r>
      <rPr>
        <sz val="10"/>
        <color rgb="FFFF0000"/>
        <rFont val="Arial"/>
        <family val="2"/>
        <charset val="204"/>
      </rPr>
      <t>*</t>
    </r>
  </si>
  <si>
    <r>
      <t>Название банка</t>
    </r>
    <r>
      <rPr>
        <sz val="10"/>
        <color rgb="FFFF0000"/>
        <rFont val="Arial"/>
        <family val="2"/>
        <charset val="204"/>
      </rPr>
      <t>*</t>
    </r>
  </si>
  <si>
    <r>
      <t>Дата регистрации компании</t>
    </r>
    <r>
      <rPr>
        <sz val="10"/>
        <color rgb="FFFF0000"/>
        <rFont val="Arial"/>
        <family val="2"/>
        <charset val="204"/>
      </rPr>
      <t>*</t>
    </r>
  </si>
  <si>
    <t>Реквизиты компании</t>
  </si>
  <si>
    <t>=C5</t>
  </si>
  <si>
    <t>=C6</t>
  </si>
  <si>
    <t>AO Kcell</t>
  </si>
  <si>
    <t>VPN Device (Customer)</t>
  </si>
  <si>
    <t>Vassiliy Perekrestov</t>
  </si>
  <si>
    <t>Please, fill</t>
  </si>
  <si>
    <t>Vassiliy.Perekrestov@kcell.kz</t>
  </si>
  <si>
    <t>+7 727 2582755 Ext: 2627</t>
  </si>
  <si>
    <t>Secondary</t>
  </si>
  <si>
    <t>Duty engineer</t>
  </si>
  <si>
    <t>VPN  Gateway Device Information</t>
  </si>
  <si>
    <t>VPN Device (AO Kcell)</t>
  </si>
  <si>
    <t>VPN Device Description</t>
  </si>
  <si>
    <t>VPN Device Version</t>
  </si>
  <si>
    <t>R88.20</t>
  </si>
  <si>
    <t>Phase 1</t>
  </si>
  <si>
    <t>Encryption Scheme</t>
  </si>
  <si>
    <t>AES128</t>
  </si>
  <si>
    <t>Phase 2</t>
  </si>
  <si>
    <t>Encryption Algorithm</t>
  </si>
  <si>
    <t>Authentication Algorithm</t>
  </si>
  <si>
    <t>Access rules</t>
  </si>
  <si>
    <t>Firewall/VPN Policy Rules</t>
  </si>
  <si>
    <t>Source</t>
  </si>
  <si>
    <t>Destination</t>
  </si>
  <si>
    <t>Service (TCP, UDP, or ICMP and port #)</t>
  </si>
  <si>
    <t>(IP Address or</t>
  </si>
  <si>
    <t>Network)</t>
  </si>
  <si>
    <t>Rule 1</t>
  </si>
  <si>
    <t>Rule 2</t>
  </si>
  <si>
    <t>NOTE (for non-client and External parties): Please provide public IP addresses for all devices. According to RFC-1918 private addresses are not allowed. Following IP addresses ranges are considered in RFC1918 as private IP addresses.</t>
  </si>
  <si>
    <t>10.0.0.0 - 10.255.255.255</t>
  </si>
  <si>
    <t>172.16.0.0 - 172.31.255.255</t>
  </si>
  <si>
    <t>192.168.0.0 - 192.168.255.255</t>
  </si>
  <si>
    <t>ОПРОСНИК
Услуга "Бизнес-телефония", АО "KCELL"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</si>
</sst>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9" x14ac:knownFonts="1">
    <font>
      <sz val="10"/>
      <name val="Arial"/>
      <charset val="16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name val="Arial"/>
      <family val="2"/>
      <charset val="204"/>
    </font>
    <font>
      <sz val="18"/>
      <color indexed="9"/>
      <name val="Arial"/>
      <family val="2"/>
      <charset val="204"/>
    </font>
    <font>
      <sz val="15"/>
      <color theme="1"/>
      <name val="Arial"/>
      <family val="2"/>
      <charset val="204"/>
    </font>
    <font>
      <i/>
      <sz val="8"/>
      <name val="Arial"/>
      <family val="2"/>
      <charset val="204"/>
    </font>
    <font>
      <i/>
      <sz val="8"/>
      <color indexed="8"/>
      <name val="Arial"/>
      <family val="2"/>
      <charset val="204"/>
    </font>
    <font>
      <sz val="15"/>
      <color indexed="9"/>
      <name val="Arial"/>
      <family val="2"/>
      <charset val="204"/>
    </font>
    <font>
      <sz val="14"/>
      <color theme="0"/>
      <name val="Arial"/>
      <family val="2"/>
      <charset val="204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204"/>
    </font>
    <font>
      <sz val="14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sz val="10"/>
      <color theme="0" tint="-0.34998626667073579"/>
      <name val="Arial"/>
      <family val="2"/>
      <charset val="204"/>
    </font>
    <font>
      <sz val="8"/>
      <color rgb="FFFF0000"/>
      <name val="Arial"/>
      <family val="2"/>
    </font>
    <font>
      <b/>
      <sz val="10"/>
      <color rgb="FFFFFFFF"/>
      <name val="Verdana"/>
      <family val="2"/>
      <charset val="204"/>
    </font>
    <font>
      <b/>
      <sz val="10"/>
      <color theme="1"/>
      <name val="Verdana"/>
      <family val="2"/>
      <charset val="204"/>
    </font>
    <font>
      <b/>
      <sz val="9"/>
      <color theme="1"/>
      <name val="Verdana"/>
      <family val="2"/>
      <charset val="204"/>
    </font>
    <font>
      <sz val="9"/>
      <color theme="1"/>
      <name val="Verdana"/>
      <family val="2"/>
      <charset val="204"/>
    </font>
    <font>
      <sz val="10"/>
      <color theme="1"/>
      <name val="Verdana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Verdana"/>
      <family val="2"/>
      <charset val="204"/>
    </font>
    <font>
      <sz val="8"/>
      <color rgb="FF000000"/>
      <name val="Arial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652D8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3BE"/>
        <bgColor indexed="64"/>
      </patternFill>
    </fill>
    <fill>
      <patternFill patternType="solid">
        <fgColor rgb="FFFF631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3B3B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43" fontId="1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0" fontId="3" fillId="0" borderId="0" xfId="0" applyFont="1"/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8" fillId="4" borderId="1" xfId="1" applyNumberFormat="1" applyFont="1" applyFill="1" applyBorder="1" applyAlignment="1" applyProtection="1">
      <alignment horizont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49" fontId="5" fillId="3" borderId="1" xfId="0" applyNumberFormat="1" applyFont="1" applyFill="1" applyBorder="1" applyAlignment="1">
      <alignment horizontal="center"/>
    </xf>
    <xf numFmtId="49" fontId="12" fillId="0" borderId="0" xfId="0" applyNumberFormat="1" applyFont="1"/>
    <xf numFmtId="49" fontId="9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3" borderId="1" xfId="0" applyNumberFormat="1" applyFont="1" applyFill="1" applyBorder="1" applyAlignment="1">
      <alignment horizontal="center" vertical="center"/>
    </xf>
    <xf numFmtId="0" fontId="12" fillId="0" borderId="0" xfId="0" applyFont="1"/>
    <xf numFmtId="0" fontId="11" fillId="4" borderId="1" xfId="0" applyFont="1" applyFill="1" applyBorder="1" applyAlignment="1">
      <alignment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49" fontId="3" fillId="3" borderId="1" xfId="0" applyNumberFormat="1" applyFont="1" applyFill="1" applyBorder="1"/>
    <xf numFmtId="49" fontId="3" fillId="3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vertical="center" wrapText="1"/>
    </xf>
    <xf numFmtId="49" fontId="3" fillId="3" borderId="3" xfId="0" applyNumberFormat="1" applyFont="1" applyFill="1" applyBorder="1"/>
    <xf numFmtId="0" fontId="15" fillId="3" borderId="3" xfId="0" applyFont="1" applyFill="1" applyBorder="1" applyAlignment="1">
      <alignment horizontal="left" vertical="center" wrapText="1"/>
    </xf>
    <xf numFmtId="49" fontId="3" fillId="3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 wrapText="1"/>
    </xf>
    <xf numFmtId="0" fontId="3" fillId="4" borderId="0" xfId="0" applyFont="1" applyFill="1" applyAlignment="1">
      <alignment horizontal="center" vertical="center"/>
    </xf>
    <xf numFmtId="49" fontId="17" fillId="0" borderId="0" xfId="0" applyNumberFormat="1" applyFont="1"/>
    <xf numFmtId="49" fontId="12" fillId="8" borderId="1" xfId="0" applyNumberFormat="1" applyFont="1" applyFill="1" applyBorder="1" applyAlignment="1">
      <alignment horizontal="center"/>
    </xf>
    <xf numFmtId="0" fontId="8" fillId="3" borderId="1" xfId="2" applyNumberFormat="1" applyFont="1" applyFill="1" applyBorder="1" applyAlignment="1" applyProtection="1">
      <alignment horizontal="center"/>
    </xf>
    <xf numFmtId="49" fontId="8" fillId="3" borderId="1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10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49" fontId="3" fillId="8" borderId="2" xfId="0" applyNumberFormat="1" applyFont="1" applyFill="1" applyBorder="1" applyAlignment="1">
      <alignment horizontal="center"/>
    </xf>
    <xf numFmtId="49" fontId="3" fillId="8" borderId="4" xfId="0" applyNumberFormat="1" applyFont="1" applyFill="1" applyBorder="1" applyAlignment="1">
      <alignment horizontal="center"/>
    </xf>
    <xf numFmtId="49" fontId="7" fillId="7" borderId="2" xfId="0" applyNumberFormat="1" applyFont="1" applyFill="1" applyBorder="1" applyAlignment="1">
      <alignment horizontal="center"/>
    </xf>
    <xf numFmtId="49" fontId="7" fillId="7" borderId="4" xfId="0" applyNumberFormat="1" applyFont="1" applyFill="1" applyBorder="1" applyAlignment="1">
      <alignment horizontal="center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2" borderId="4" xfId="0" applyNumberFormat="1" applyFont="1" applyFill="1" applyBorder="1" applyAlignment="1">
      <alignment horizontal="center" vertical="center" wrapText="1"/>
    </xf>
    <xf numFmtId="49" fontId="18" fillId="5" borderId="2" xfId="0" applyNumberFormat="1" applyFont="1" applyFill="1" applyBorder="1" applyAlignment="1">
      <alignment horizontal="center" vertical="center" wrapText="1"/>
    </xf>
    <xf numFmtId="49" fontId="18" fillId="5" borderId="4" xfId="0" applyNumberFormat="1" applyFont="1" applyFill="1" applyBorder="1" applyAlignment="1">
      <alignment horizontal="center" vertical="center" wrapText="1"/>
    </xf>
    <xf numFmtId="49" fontId="10" fillId="2" borderId="2" xfId="0" applyNumberFormat="1" applyFont="1" applyFill="1" applyBorder="1" applyAlignment="1">
      <alignment horizontal="center"/>
    </xf>
    <xf numFmtId="49" fontId="10" fillId="2" borderId="4" xfId="0" applyNumberFormat="1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textRotation="90" wrapText="1"/>
    </xf>
    <xf numFmtId="0" fontId="23" fillId="0" borderId="0" xfId="0" applyFont="1" applyAlignment="1">
      <alignment horizontal="center" vertical="center"/>
    </xf>
    <xf numFmtId="0" fontId="21" fillId="10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</cellXfs>
  <cellStyles count="5">
    <cellStyle name="Comma 2" xfId="4" xr:uid="{00000000-0005-0000-0000-000001000000}"/>
    <cellStyle name="Normal 2" xfId="3" xr:uid="{00000000-0005-0000-0000-000004000000}"/>
    <cellStyle name="Гиперссылка" xfId="1" builtinId="8"/>
    <cellStyle name="Обычный" xfId="0" builtinId="0"/>
    <cellStyle name="Финансовый" xfId="2" builtinId="3"/>
  </cellStyles>
  <dxfs count="0"/>
  <tableStyles count="0" defaultTableStyle="TableStyleMedium9" defaultPivotStyle="PivotStyleLight16"/>
  <colors>
    <mruColors>
      <color rgb="FFFF6319"/>
      <color rgb="FF0083BE"/>
      <color rgb="FF652D86"/>
      <color rgb="FFDC0451"/>
      <color rgb="FFC41B79"/>
      <color rgb="FFC7C2BA"/>
      <color rgb="FFACC4BE"/>
      <color rgb="FF96B4AD"/>
      <color rgb="FF7CAABA"/>
      <color rgb="FF5954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Validation!$B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G$50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39</xdr:row>
          <xdr:rowOff>0</xdr:rowOff>
        </xdr:from>
        <xdr:to>
          <xdr:col>2</xdr:col>
          <xdr:colOff>2385060</xdr:colOff>
          <xdr:row>39</xdr:row>
          <xdr:rowOff>0</xdr:rowOff>
        </xdr:to>
        <xdr:sp macro="" textlink="">
          <xdr:nvSpPr>
            <xdr:cNvPr id="10241" name="Button165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Да. (Нажать для заполнения формы VPN)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438979</xdr:colOff>
          <xdr:row>38</xdr:row>
          <xdr:rowOff>99392</xdr:rowOff>
        </xdr:from>
        <xdr:to>
          <xdr:col>2</xdr:col>
          <xdr:colOff>2045805</xdr:colOff>
          <xdr:row>38</xdr:row>
          <xdr:rowOff>1192695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6974250" y="7064968"/>
              <a:ext cx="1606826" cy="1093303"/>
              <a:chOff x="8090453" y="8224534"/>
              <a:chExt cx="1397276" cy="894522"/>
            </a:xfrm>
          </xdr:grpSpPr>
          <xdr:sp macro="" textlink="">
            <xdr:nvSpPr>
              <xdr:cNvPr id="10242" name="Option Button 2" hidden="1">
                <a:extLst>
                  <a:ext uri="{63B3BB69-23CF-44E3-9099-C40C66FF867C}">
                    <a14:compatExt spid="_x0000_s10242"/>
                  </a:ext>
                  <a:ext uri="{FF2B5EF4-FFF2-40B4-BE49-F238E27FC236}">
                    <a16:creationId xmlns:a16="http://schemas.microsoft.com/office/drawing/2014/main" id="{00000000-0008-0000-0000-000002280000}"/>
                  </a:ext>
                </a:extLst>
              </xdr:cNvPr>
              <xdr:cNvSpPr/>
            </xdr:nvSpPr>
            <xdr:spPr bwMode="auto">
              <a:xfrm>
                <a:off x="8207653" y="8315738"/>
                <a:ext cx="1057275" cy="2034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SIP over Internet</a:t>
                </a:r>
              </a:p>
            </xdr:txBody>
          </xdr:sp>
          <xdr:sp macro="" textlink="">
            <xdr:nvSpPr>
              <xdr:cNvPr id="10243" name="Option Button 3" hidden="1">
                <a:extLst>
                  <a:ext uri="{63B3BB69-23CF-44E3-9099-C40C66FF867C}">
                    <a14:compatExt spid="_x0000_s10243"/>
                  </a:ext>
                  <a:ext uri="{FF2B5EF4-FFF2-40B4-BE49-F238E27FC236}">
                    <a16:creationId xmlns:a16="http://schemas.microsoft.com/office/drawing/2014/main" id="{00000000-0008-0000-0000-000003280000}"/>
                  </a:ext>
                </a:extLst>
              </xdr:cNvPr>
              <xdr:cNvSpPr/>
            </xdr:nvSpPr>
            <xdr:spPr bwMode="auto">
              <a:xfrm>
                <a:off x="8207653" y="8578435"/>
                <a:ext cx="1057275" cy="2034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E1</a:t>
                </a:r>
              </a:p>
            </xdr:txBody>
          </xdr:sp>
          <xdr:sp macro="" textlink="">
            <xdr:nvSpPr>
              <xdr:cNvPr id="10244" name="Option Button 4" hidden="1">
                <a:extLst>
                  <a:ext uri="{63B3BB69-23CF-44E3-9099-C40C66FF867C}">
                    <a14:compatExt spid="_x0000_s10244"/>
                  </a:ext>
                  <a:ext uri="{FF2B5EF4-FFF2-40B4-BE49-F238E27FC236}">
                    <a16:creationId xmlns:a16="http://schemas.microsoft.com/office/drawing/2014/main" id="{00000000-0008-0000-0000-000004280000}"/>
                  </a:ext>
                </a:extLst>
              </xdr:cNvPr>
              <xdr:cNvSpPr/>
            </xdr:nvSpPr>
            <xdr:spPr bwMode="auto">
              <a:xfrm>
                <a:off x="8207653" y="8841133"/>
                <a:ext cx="1057275" cy="2034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SIP cable direct</a:t>
                </a:r>
              </a:p>
            </xdr:txBody>
          </xdr:sp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000-000005280000}"/>
                  </a:ext>
                </a:extLst>
              </xdr:cNvPr>
              <xdr:cNvSpPr/>
            </xdr:nvSpPr>
            <xdr:spPr bwMode="auto">
              <a:xfrm>
                <a:off x="8090453" y="8224534"/>
                <a:ext cx="1397276" cy="8945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Выберите подключение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128380</xdr:colOff>
          <xdr:row>49</xdr:row>
          <xdr:rowOff>115956</xdr:rowOff>
        </xdr:from>
        <xdr:to>
          <xdr:col>2</xdr:col>
          <xdr:colOff>2277717</xdr:colOff>
          <xdr:row>49</xdr:row>
          <xdr:rowOff>861391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pSpPr/>
          </xdr:nvGrpSpPr>
          <xdr:grpSpPr>
            <a:xfrm>
              <a:off x="6663651" y="10093674"/>
              <a:ext cx="2149337" cy="745435"/>
              <a:chOff x="5719103" y="-4783750"/>
              <a:chExt cx="2181226" cy="14971304"/>
            </a:xfrm>
          </xdr:grpSpPr>
          <xdr:sp macro="" textlink="">
            <xdr:nvSpPr>
              <xdr:cNvPr id="10246" name="Group Box 6" hidden="1">
                <a:extLst>
                  <a:ext uri="{63B3BB69-23CF-44E3-9099-C40C66FF867C}">
                    <a14:compatExt spid="_x0000_s10246"/>
                  </a:ext>
                  <a:ext uri="{FF2B5EF4-FFF2-40B4-BE49-F238E27FC236}">
                    <a16:creationId xmlns:a16="http://schemas.microsoft.com/office/drawing/2014/main" id="{00000000-0008-0000-0000-000006280000}"/>
                  </a:ext>
                </a:extLst>
              </xdr:cNvPr>
              <xdr:cNvSpPr/>
            </xdr:nvSpPr>
            <xdr:spPr bwMode="auto">
              <a:xfrm>
                <a:off x="5719103" y="-4783750"/>
                <a:ext cx="2181226" cy="149713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Выберите</a:t>
                </a:r>
              </a:p>
            </xdr:txBody>
          </xdr:sp>
          <xdr:sp macro="" textlink="">
            <xdr:nvSpPr>
              <xdr:cNvPr id="10247" name="Option Button 7" hidden="1">
                <a:extLst>
                  <a:ext uri="{63B3BB69-23CF-44E3-9099-C40C66FF867C}">
                    <a14:compatExt spid="_x0000_s10247"/>
                  </a:ext>
                  <a:ext uri="{FF2B5EF4-FFF2-40B4-BE49-F238E27FC236}">
                    <a16:creationId xmlns:a16="http://schemas.microsoft.com/office/drawing/2014/main" id="{00000000-0008-0000-0000-000007280000}"/>
                  </a:ext>
                </a:extLst>
              </xdr:cNvPr>
              <xdr:cNvSpPr/>
            </xdr:nvSpPr>
            <xdr:spPr bwMode="auto">
              <a:xfrm>
                <a:off x="5784596" y="1971799"/>
                <a:ext cx="2022219" cy="71150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Да. Клиент может настроить со своей стороны</a:t>
                </a:r>
              </a:p>
            </xdr:txBody>
          </xdr:sp>
          <xdr:sp macro="" textlink="">
            <xdr:nvSpPr>
              <xdr:cNvPr id="10248" name="OptionButton217" hidden="1">
                <a:extLst>
                  <a:ext uri="{63B3BB69-23CF-44E3-9099-C40C66FF867C}">
                    <a14:compatExt spid="_x0000_s10248"/>
                  </a:ext>
                  <a:ext uri="{FF2B5EF4-FFF2-40B4-BE49-F238E27FC236}">
                    <a16:creationId xmlns:a16="http://schemas.microsoft.com/office/drawing/2014/main" id="{00000000-0008-0000-0000-000008280000}"/>
                  </a:ext>
                </a:extLst>
              </xdr:cNvPr>
              <xdr:cNvSpPr/>
            </xdr:nvSpPr>
            <xdr:spPr bwMode="auto">
              <a:xfrm>
                <a:off x="5780643" y="-2168394"/>
                <a:ext cx="1081610" cy="483931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Нет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167640</xdr:rowOff>
        </xdr:from>
        <xdr:to>
          <xdr:col>11</xdr:col>
          <xdr:colOff>15240</xdr:colOff>
          <xdr:row>1</xdr:row>
          <xdr:rowOff>289560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Не нужен VPN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</sheetPr>
  <dimension ref="B1:G123"/>
  <sheetViews>
    <sheetView tabSelected="1" view="pageBreakPreview" topLeftCell="A36" zoomScale="85" zoomScaleNormal="100" zoomScaleSheetLayoutView="85" workbookViewId="0">
      <selection activeCell="A41" sqref="A41:XFD50"/>
    </sheetView>
  </sheetViews>
  <sheetFormatPr defaultRowHeight="13.2" x14ac:dyDescent="0.25"/>
  <cols>
    <col min="1" max="1" width="36.33203125" customWidth="1"/>
    <col min="2" max="2" width="58.88671875" bestFit="1" customWidth="1"/>
    <col min="3" max="3" width="36.109375" bestFit="1" customWidth="1"/>
    <col min="4" max="4" width="9.109375" customWidth="1"/>
    <col min="5" max="5" width="0" hidden="1" customWidth="1"/>
  </cols>
  <sheetData>
    <row r="1" spans="2:3" s="1" customFormat="1" ht="42.75" customHeight="1" x14ac:dyDescent="0.25">
      <c r="B1" s="45" t="s">
        <v>313</v>
      </c>
      <c r="C1" s="46"/>
    </row>
    <row r="2" spans="2:3" s="1" customFormat="1" x14ac:dyDescent="0.25">
      <c r="B2" s="47" t="s">
        <v>259</v>
      </c>
      <c r="C2" s="48"/>
    </row>
    <row r="3" spans="2:3" s="1" customFormat="1" ht="18.600000000000001" x14ac:dyDescent="0.3">
      <c r="B3" s="49" t="s">
        <v>225</v>
      </c>
      <c r="C3" s="50"/>
    </row>
    <row r="4" spans="2:3" s="1" customFormat="1" x14ac:dyDescent="0.25">
      <c r="B4" s="26" t="s">
        <v>1</v>
      </c>
      <c r="C4" s="26" t="s">
        <v>230</v>
      </c>
    </row>
    <row r="5" spans="2:3" s="1" customFormat="1" x14ac:dyDescent="0.25">
      <c r="B5" s="17" t="s">
        <v>234</v>
      </c>
      <c r="C5" s="5" t="s">
        <v>26</v>
      </c>
    </row>
    <row r="6" spans="2:3" s="1" customFormat="1" x14ac:dyDescent="0.25">
      <c r="B6" s="17" t="s">
        <v>235</v>
      </c>
      <c r="C6" s="5" t="s">
        <v>26</v>
      </c>
    </row>
    <row r="7" spans="2:3" s="1" customFormat="1" x14ac:dyDescent="0.25">
      <c r="B7" s="17" t="s">
        <v>236</v>
      </c>
      <c r="C7" s="5" t="s">
        <v>26</v>
      </c>
    </row>
    <row r="8" spans="2:3" s="1" customFormat="1" x14ac:dyDescent="0.25">
      <c r="B8" s="17" t="s">
        <v>277</v>
      </c>
      <c r="C8" s="5" t="s">
        <v>26</v>
      </c>
    </row>
    <row r="9" spans="2:3" s="1" customFormat="1" x14ac:dyDescent="0.25">
      <c r="B9" s="41" t="s">
        <v>268</v>
      </c>
      <c r="C9" s="42"/>
    </row>
    <row r="10" spans="2:3" s="1" customFormat="1" x14ac:dyDescent="0.25">
      <c r="B10" s="17" t="s">
        <v>90</v>
      </c>
      <c r="C10" s="5" t="s">
        <v>26</v>
      </c>
    </row>
    <row r="11" spans="2:3" s="1" customFormat="1" x14ac:dyDescent="0.25">
      <c r="B11" s="17" t="s">
        <v>91</v>
      </c>
      <c r="C11" s="5" t="s">
        <v>26</v>
      </c>
    </row>
    <row r="12" spans="2:3" s="1" customFormat="1" x14ac:dyDescent="0.25">
      <c r="B12" s="17" t="s">
        <v>269</v>
      </c>
      <c r="C12" s="5" t="s">
        <v>26</v>
      </c>
    </row>
    <row r="13" spans="2:3" s="1" customFormat="1" x14ac:dyDescent="0.25">
      <c r="B13" s="41" t="s">
        <v>278</v>
      </c>
      <c r="C13" s="42"/>
    </row>
    <row r="14" spans="2:3" s="1" customFormat="1" x14ac:dyDescent="0.25">
      <c r="B14" s="17" t="s">
        <v>270</v>
      </c>
      <c r="C14" s="5" t="s">
        <v>280</v>
      </c>
    </row>
    <row r="15" spans="2:3" s="1" customFormat="1" x14ac:dyDescent="0.25">
      <c r="B15" s="17" t="s">
        <v>271</v>
      </c>
      <c r="C15" s="5" t="s">
        <v>26</v>
      </c>
    </row>
    <row r="16" spans="2:3" s="1" customFormat="1" x14ac:dyDescent="0.25">
      <c r="B16" s="17" t="s">
        <v>272</v>
      </c>
      <c r="C16" s="5" t="s">
        <v>279</v>
      </c>
    </row>
    <row r="17" spans="2:7" s="1" customFormat="1" x14ac:dyDescent="0.25">
      <c r="B17" s="17" t="s">
        <v>273</v>
      </c>
      <c r="C17" s="5" t="s">
        <v>26</v>
      </c>
    </row>
    <row r="18" spans="2:7" s="1" customFormat="1" x14ac:dyDescent="0.25">
      <c r="B18" s="17" t="s">
        <v>274</v>
      </c>
      <c r="C18" s="5" t="s">
        <v>26</v>
      </c>
    </row>
    <row r="19" spans="2:7" s="1" customFormat="1" x14ac:dyDescent="0.25">
      <c r="B19" s="17" t="s">
        <v>275</v>
      </c>
      <c r="C19" s="5" t="s">
        <v>26</v>
      </c>
    </row>
    <row r="20" spans="2:7" s="1" customFormat="1" x14ac:dyDescent="0.25">
      <c r="B20" s="17" t="s">
        <v>276</v>
      </c>
      <c r="C20" s="5" t="s">
        <v>26</v>
      </c>
    </row>
    <row r="21" spans="2:7" s="1" customFormat="1" ht="18.600000000000001" x14ac:dyDescent="0.3">
      <c r="B21" s="49" t="s">
        <v>106</v>
      </c>
      <c r="C21" s="50"/>
    </row>
    <row r="22" spans="2:7" s="1" customFormat="1" x14ac:dyDescent="0.25">
      <c r="B22" s="8" t="s">
        <v>1</v>
      </c>
      <c r="C22" s="8" t="s">
        <v>107</v>
      </c>
      <c r="E22" s="1" t="s">
        <v>37</v>
      </c>
    </row>
    <row r="23" spans="2:7" s="1" customFormat="1" x14ac:dyDescent="0.25">
      <c r="B23" s="41" t="s">
        <v>219</v>
      </c>
      <c r="C23" s="42"/>
    </row>
    <row r="24" spans="2:7" s="1" customFormat="1" x14ac:dyDescent="0.25">
      <c r="B24" s="17" t="s">
        <v>90</v>
      </c>
      <c r="C24" s="5" t="s">
        <v>26</v>
      </c>
    </row>
    <row r="25" spans="2:7" s="1" customFormat="1" x14ac:dyDescent="0.25">
      <c r="B25" s="17" t="s">
        <v>91</v>
      </c>
      <c r="C25" s="5" t="s">
        <v>26</v>
      </c>
    </row>
    <row r="26" spans="2:7" s="1" customFormat="1" x14ac:dyDescent="0.25">
      <c r="B26" s="17" t="s">
        <v>118</v>
      </c>
      <c r="C26" s="5" t="s">
        <v>26</v>
      </c>
    </row>
    <row r="27" spans="2:7" s="1" customFormat="1" x14ac:dyDescent="0.25">
      <c r="B27" s="41" t="s">
        <v>108</v>
      </c>
      <c r="C27" s="42"/>
    </row>
    <row r="28" spans="2:7" s="1" customFormat="1" x14ac:dyDescent="0.25">
      <c r="B28" s="19" t="s">
        <v>111</v>
      </c>
      <c r="C28" s="5" t="s">
        <v>29</v>
      </c>
    </row>
    <row r="29" spans="2:7" s="1" customFormat="1" x14ac:dyDescent="0.25">
      <c r="B29" s="17" t="s">
        <v>119</v>
      </c>
      <c r="C29" s="5" t="s">
        <v>26</v>
      </c>
    </row>
    <row r="30" spans="2:7" s="1" customFormat="1" x14ac:dyDescent="0.25">
      <c r="B30" s="17" t="s">
        <v>120</v>
      </c>
      <c r="C30" s="5" t="s">
        <v>26</v>
      </c>
      <c r="G30" s="1">
        <v>3</v>
      </c>
    </row>
    <row r="31" spans="2:7" s="1" customFormat="1" x14ac:dyDescent="0.25">
      <c r="B31" s="17" t="s">
        <v>121</v>
      </c>
      <c r="C31" s="6" t="s">
        <v>29</v>
      </c>
    </row>
    <row r="32" spans="2:7" s="1" customFormat="1" x14ac:dyDescent="0.25">
      <c r="B32" s="17" t="s">
        <v>260</v>
      </c>
      <c r="C32" s="6" t="s">
        <v>26</v>
      </c>
    </row>
    <row r="33" spans="2:5" s="1" customFormat="1" x14ac:dyDescent="0.25">
      <c r="B33" s="17" t="s">
        <v>122</v>
      </c>
      <c r="C33" s="4" t="s">
        <v>26</v>
      </c>
    </row>
    <row r="34" spans="2:5" s="1" customFormat="1" x14ac:dyDescent="0.25">
      <c r="B34" s="41" t="s">
        <v>126</v>
      </c>
      <c r="C34" s="42"/>
    </row>
    <row r="35" spans="2:5" s="1" customFormat="1" x14ac:dyDescent="0.25">
      <c r="B35" s="17" t="s">
        <v>231</v>
      </c>
      <c r="C35" s="4" t="s">
        <v>123</v>
      </c>
    </row>
    <row r="36" spans="2:5" s="1" customFormat="1" x14ac:dyDescent="0.25">
      <c r="B36" s="17" t="s">
        <v>92</v>
      </c>
      <c r="C36" s="4" t="s">
        <v>60</v>
      </c>
    </row>
    <row r="37" spans="2:5" s="1" customFormat="1" x14ac:dyDescent="0.25">
      <c r="B37" s="17" t="s">
        <v>125</v>
      </c>
      <c r="C37" s="4" t="s">
        <v>29</v>
      </c>
      <c r="E37" s="9" t="s">
        <v>38</v>
      </c>
    </row>
    <row r="38" spans="2:5" s="1" customFormat="1" x14ac:dyDescent="0.25">
      <c r="B38" s="20" t="s">
        <v>124</v>
      </c>
      <c r="C38" s="4" t="s">
        <v>26</v>
      </c>
      <c r="E38" s="9"/>
    </row>
    <row r="39" spans="2:5" s="1" customFormat="1" ht="98.25" customHeight="1" x14ac:dyDescent="0.25">
      <c r="B39" s="21" t="s">
        <v>220</v>
      </c>
      <c r="C39" s="13"/>
      <c r="E39" s="9" t="s">
        <v>39</v>
      </c>
    </row>
    <row r="40" spans="2:5" s="1" customFormat="1" ht="18.600000000000001" x14ac:dyDescent="0.3">
      <c r="B40" s="43" t="s">
        <v>84</v>
      </c>
      <c r="C40" s="44"/>
      <c r="E40" s="9" t="s">
        <v>40</v>
      </c>
    </row>
    <row r="41" spans="2:5" s="1" customFormat="1" x14ac:dyDescent="0.25">
      <c r="B41" s="8" t="s">
        <v>2</v>
      </c>
      <c r="C41" s="8" t="s">
        <v>27</v>
      </c>
      <c r="E41" s="9"/>
    </row>
    <row r="42" spans="2:5" s="1" customFormat="1" x14ac:dyDescent="0.25">
      <c r="B42" s="17" t="s">
        <v>261</v>
      </c>
      <c r="C42" s="10" t="s">
        <v>29</v>
      </c>
      <c r="E42" s="9" t="s">
        <v>41</v>
      </c>
    </row>
    <row r="43" spans="2:5" s="1" customFormat="1" x14ac:dyDescent="0.25">
      <c r="B43" s="17" t="s">
        <v>93</v>
      </c>
      <c r="C43" s="10" t="s">
        <v>26</v>
      </c>
      <c r="E43" s="2" t="s">
        <v>33</v>
      </c>
    </row>
    <row r="44" spans="2:5" s="1" customFormat="1" x14ac:dyDescent="0.25">
      <c r="B44" s="17" t="s">
        <v>94</v>
      </c>
      <c r="C44" s="10" t="s">
        <v>26</v>
      </c>
      <c r="E44" s="2" t="s">
        <v>36</v>
      </c>
    </row>
    <row r="45" spans="2:5" s="1" customFormat="1" x14ac:dyDescent="0.25">
      <c r="B45" s="17" t="s">
        <v>95</v>
      </c>
      <c r="C45" s="10" t="s">
        <v>29</v>
      </c>
      <c r="E45" s="2"/>
    </row>
    <row r="46" spans="2:5" s="1" customFormat="1" x14ac:dyDescent="0.25">
      <c r="B46" s="17" t="s">
        <v>96</v>
      </c>
      <c r="C46" s="11" t="s">
        <v>32</v>
      </c>
      <c r="E46" s="2" t="s">
        <v>34</v>
      </c>
    </row>
    <row r="47" spans="2:5" s="1" customFormat="1" x14ac:dyDescent="0.25">
      <c r="B47" s="17" t="s">
        <v>97</v>
      </c>
      <c r="C47" s="6" t="s">
        <v>26</v>
      </c>
      <c r="E47" s="2" t="s">
        <v>35</v>
      </c>
    </row>
    <row r="48" spans="2:5" s="1" customFormat="1" x14ac:dyDescent="0.25">
      <c r="B48" s="17" t="s">
        <v>98</v>
      </c>
      <c r="C48" s="6" t="s">
        <v>26</v>
      </c>
    </row>
    <row r="49" spans="2:7" s="1" customFormat="1" x14ac:dyDescent="0.25">
      <c r="B49" s="17" t="s">
        <v>99</v>
      </c>
      <c r="C49" s="6" t="s">
        <v>29</v>
      </c>
      <c r="E49" s="2" t="s">
        <v>43</v>
      </c>
    </row>
    <row r="50" spans="2:7" s="1" customFormat="1" ht="78" customHeight="1" x14ac:dyDescent="0.25">
      <c r="B50" s="18" t="s">
        <v>100</v>
      </c>
      <c r="C50" s="24"/>
      <c r="D50" s="25" t="s">
        <v>65</v>
      </c>
      <c r="E50" s="2"/>
      <c r="G50">
        <v>2</v>
      </c>
    </row>
    <row r="51" spans="2:7" s="1" customFormat="1" ht="18.600000000000001" hidden="1" x14ac:dyDescent="0.3">
      <c r="B51" s="43" t="s">
        <v>85</v>
      </c>
      <c r="C51" s="44"/>
      <c r="E51" s="9" t="s">
        <v>42</v>
      </c>
    </row>
    <row r="52" spans="2:7" s="1" customFormat="1" hidden="1" x14ac:dyDescent="0.25">
      <c r="B52" s="8" t="s">
        <v>2</v>
      </c>
      <c r="C52" s="8" t="s">
        <v>27</v>
      </c>
      <c r="E52" s="9" t="s">
        <v>39</v>
      </c>
    </row>
    <row r="53" spans="2:7" s="1" customFormat="1" hidden="1" x14ac:dyDescent="0.25">
      <c r="B53" s="17" t="s">
        <v>104</v>
      </c>
      <c r="C53" s="4" t="s">
        <v>29</v>
      </c>
      <c r="E53" s="9" t="s">
        <v>45</v>
      </c>
    </row>
    <row r="54" spans="2:7" s="1" customFormat="1" hidden="1" x14ac:dyDescent="0.25">
      <c r="B54" s="17" t="s">
        <v>103</v>
      </c>
      <c r="C54" s="4" t="s">
        <v>29</v>
      </c>
      <c r="E54" s="9" t="s">
        <v>46</v>
      </c>
    </row>
    <row r="55" spans="2:7" s="1" customFormat="1" hidden="1" x14ac:dyDescent="0.25">
      <c r="B55" s="17" t="s">
        <v>102</v>
      </c>
      <c r="C55" s="4" t="s">
        <v>30</v>
      </c>
      <c r="E55" s="9" t="s">
        <v>44</v>
      </c>
    </row>
    <row r="56" spans="2:7" s="1" customFormat="1" hidden="1" x14ac:dyDescent="0.25">
      <c r="B56" s="17" t="s">
        <v>101</v>
      </c>
      <c r="C56" s="4" t="s">
        <v>29</v>
      </c>
      <c r="E56" s="9" t="s">
        <v>47</v>
      </c>
    </row>
    <row r="57" spans="2:7" s="1" customFormat="1" hidden="1" x14ac:dyDescent="0.25">
      <c r="B57" s="17" t="s">
        <v>0</v>
      </c>
      <c r="C57" s="6" t="s">
        <v>26</v>
      </c>
      <c r="E57" s="9"/>
    </row>
    <row r="58" spans="2:7" s="1" customFormat="1" ht="18.600000000000001" hidden="1" x14ac:dyDescent="0.3">
      <c r="B58" s="43" t="s">
        <v>86</v>
      </c>
      <c r="C58" s="44"/>
      <c r="E58" s="9" t="s">
        <v>39</v>
      </c>
    </row>
    <row r="59" spans="2:7" s="1" customFormat="1" hidden="1" x14ac:dyDescent="0.25">
      <c r="B59" s="8" t="s">
        <v>2</v>
      </c>
      <c r="C59" s="8" t="s">
        <v>27</v>
      </c>
      <c r="E59" s="2" t="s">
        <v>49</v>
      </c>
    </row>
    <row r="60" spans="2:7" s="1" customFormat="1" hidden="1" x14ac:dyDescent="0.25">
      <c r="B60" s="17" t="s">
        <v>95</v>
      </c>
      <c r="C60" s="10" t="s">
        <v>29</v>
      </c>
      <c r="E60" s="9" t="s">
        <v>48</v>
      </c>
    </row>
    <row r="61" spans="2:7" s="1" customFormat="1" hidden="1" x14ac:dyDescent="0.25">
      <c r="B61" s="17" t="s">
        <v>96</v>
      </c>
      <c r="C61" s="28" t="s">
        <v>32</v>
      </c>
      <c r="E61" s="9" t="s">
        <v>20</v>
      </c>
    </row>
    <row r="62" spans="2:7" s="1" customFormat="1" hidden="1" x14ac:dyDescent="0.25">
      <c r="B62" s="17" t="s">
        <v>97</v>
      </c>
      <c r="C62" s="6" t="s">
        <v>26</v>
      </c>
      <c r="E62" s="9" t="s">
        <v>21</v>
      </c>
    </row>
    <row r="63" spans="2:7" s="1" customFormat="1" hidden="1" x14ac:dyDescent="0.25">
      <c r="B63" s="17" t="s">
        <v>105</v>
      </c>
      <c r="C63" s="6" t="s">
        <v>26</v>
      </c>
      <c r="E63" s="9" t="s">
        <v>50</v>
      </c>
    </row>
    <row r="64" spans="2:7" s="1" customFormat="1" hidden="1" x14ac:dyDescent="0.25">
      <c r="B64" s="22" t="s">
        <v>99</v>
      </c>
      <c r="C64" s="6" t="s">
        <v>29</v>
      </c>
    </row>
    <row r="65" spans="2:3" s="1" customFormat="1" ht="14.25" hidden="1" customHeight="1" x14ac:dyDescent="0.25">
      <c r="B65" s="17" t="s">
        <v>224</v>
      </c>
      <c r="C65" s="27" t="str">
        <f>IF(C63="Пожалуйста заполните", "Просчитывается автоматически", IF(C64="Выберите из списка","Просчитывается автоматически",IF(C64="g.711",C63*87.2/1024,C63*32.2/1024)&amp;" Мбит/с"))</f>
        <v>Просчитывается автоматически</v>
      </c>
    </row>
    <row r="66" spans="2:3" s="1" customFormat="1" hidden="1" x14ac:dyDescent="0.25">
      <c r="B66" s="23" t="s">
        <v>3</v>
      </c>
      <c r="C66" s="6" t="s">
        <v>28</v>
      </c>
    </row>
    <row r="67" spans="2:3" hidden="1" x14ac:dyDescent="0.25"/>
    <row r="95" spans="7:7" x14ac:dyDescent="0.25">
      <c r="G95">
        <v>1</v>
      </c>
    </row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4:4" hidden="1" x14ac:dyDescent="0.25"/>
    <row r="114" spans="4:4" hidden="1" x14ac:dyDescent="0.25"/>
    <row r="115" spans="4:4" hidden="1" x14ac:dyDescent="0.25">
      <c r="D115">
        <v>2</v>
      </c>
    </row>
    <row r="116" spans="4:4" hidden="1" x14ac:dyDescent="0.25"/>
    <row r="117" spans="4:4" hidden="1" x14ac:dyDescent="0.25"/>
    <row r="118" spans="4:4" hidden="1" x14ac:dyDescent="0.25"/>
    <row r="119" spans="4:4" hidden="1" x14ac:dyDescent="0.25"/>
    <row r="120" spans="4:4" hidden="1" x14ac:dyDescent="0.25"/>
    <row r="121" spans="4:4" hidden="1" x14ac:dyDescent="0.25"/>
    <row r="122" spans="4:4" hidden="1" x14ac:dyDescent="0.25"/>
    <row r="123" spans="4:4" hidden="1" x14ac:dyDescent="0.25"/>
  </sheetData>
  <mergeCells count="12">
    <mergeCell ref="B1:C1"/>
    <mergeCell ref="B2:C2"/>
    <mergeCell ref="B3:C3"/>
    <mergeCell ref="B21:C21"/>
    <mergeCell ref="B23:C23"/>
    <mergeCell ref="B13:C13"/>
    <mergeCell ref="B9:C9"/>
    <mergeCell ref="B34:C34"/>
    <mergeCell ref="B40:C40"/>
    <mergeCell ref="B51:C51"/>
    <mergeCell ref="B58:C58"/>
    <mergeCell ref="B27:C27"/>
  </mergeCells>
  <dataValidations count="31">
    <dataValidation allowBlank="1" showErrorMessage="1" sqref="C38" xr:uid="{00000000-0002-0000-0100-000003000000}"/>
    <dataValidation allowBlank="1" showInputMessage="1" showErrorMessage="1" promptTitle="Количество необходимых сессий" prompt="Зависит от количества единовременных звонков" sqref="C63" xr:uid="{00000000-0002-0000-0100-000004000000}"/>
    <dataValidation allowBlank="1" showInputMessage="1" showErrorMessage="1" promptTitle="Порт для голосового трафика" prompt="Порты для передачи голосового трафика. НАПРИМЕР: 10000-65527" sqref="C62" xr:uid="{00000000-0002-0000-0100-000005000000}"/>
    <dataValidation allowBlank="1" showInputMessage="1" showErrorMessage="1" promptTitle="Порт для сигнализации" prompt="Порт по которому будет осуществляться сигнализация SIP. По умолчанию используется порт 5060." sqref="C61" xr:uid="{00000000-0002-0000-0100-000006000000}"/>
    <dataValidation allowBlank="1" showInputMessage="1" showErrorMessage="1" promptTitle="Количество необходимых сессий" prompt="зависит от количество единовременных звонков" sqref="C48" xr:uid="{00000000-0002-0000-0100-000007000000}"/>
    <dataValidation allowBlank="1" showInputMessage="1" showErrorMessage="1" promptTitle="Модель оборудования" prompt="Например: KX- TDE100" sqref="C30" xr:uid="{00000000-0002-0000-0100-000008000000}"/>
    <dataValidation allowBlank="1" showInputMessage="1" showErrorMessage="1" promptTitle="Производитель оборудования" prompt="Например: Panasonic_x000a_" sqref="C29" xr:uid="{00000000-0002-0000-0100-000009000000}"/>
    <dataValidation allowBlank="1" showInputMessage="1" showErrorMessage="1" promptTitle="Адрес:" prompt="НАПРИМЕР: ул. Тимирязева 2г, цокольный этаж" sqref="C32" xr:uid="{00000000-0002-0000-0100-00000A000000}"/>
    <dataValidation allowBlank="1" showInputMessage="1" showErrorMessage="1" promptTitle="Координаты АТС" prompt="Укажите координаты АТС, если ваш объект не имеет адреса_x000a_НАПРИМЕР: 43°14'02.3&quot;N 76°56'24.5&quot;E" sqref="C33" xr:uid="{00000000-0002-0000-0100-00000B000000}"/>
    <dataValidation operator="greaterThan" allowBlank="1" showInputMessage="1" showErrorMessage="1" error="Нужно указать целое значение" promptTitle="Количество виртуальных номеров" prompt="Укажите, какое количество виртуальных номеров Вам необходимо" sqref="C35" xr:uid="{00000000-0002-0000-0100-00000C000000}"/>
    <dataValidation allowBlank="1" showInputMessage="1" showErrorMessage="1" promptTitle="UDP порт для сигнализации" prompt="Порт по которому будет осуществляться сигнализация SIP. По умолчанию используется порт 5060." sqref="C46" xr:uid="{00000000-0002-0000-0100-00000D000000}"/>
    <dataValidation allowBlank="1" showInputMessage="1" showErrorMessage="1" promptTitle="UDP порт для голосового трафика" prompt="Порты для передачи голосового трафика. НАПРИМЕР: 10000-65527" sqref="C47" xr:uid="{00000000-0002-0000-0100-00000E000000}"/>
    <dataValidation allowBlank="1" showInputMessage="1" showErrorMessage="1" promptTitle="Point Code" prompt="Заполняется в случае использования ОКС 7. _x000a_Числовое значение_x000a_Например: 21245" sqref="C55" xr:uid="{00000000-0002-0000-0100-00000F000000}"/>
    <dataValidation allowBlank="1" showInputMessage="1" showErrorMessage="1" promptTitle="Контактный телефон" prompt="Например: +7 701 1234567" sqref="C25 C11" xr:uid="{00000000-0002-0000-0100-000010000000}"/>
    <dataValidation allowBlank="1" showInputMessage="1" showErrorMessage="1" promptTitle="Контактный Email" prompt="Электронный адрес технического специалиста, куда будут высланы технические настроики_x000a_" sqref="C26" xr:uid="{00000000-0002-0000-0100-000011000000}"/>
    <dataValidation allowBlank="1" showInputMessage="1" showErrorMessage="1" promptTitle="Контактное лицо" prompt="ФИО технического специалиста_x000a_НАПРИМЕР: Иванов Иван Иванович" sqref="C24" xr:uid="{00000000-0002-0000-0100-000012000000}"/>
    <dataValidation allowBlank="1" showInputMessage="1" showErrorMessage="1" promptTitle="IP адрес оборудования" prompt="Например: 89.60.125.13_x000a_" sqref="C43:C44" xr:uid="{00000000-0002-0000-0100-000013000000}"/>
    <dataValidation allowBlank="1" showInputMessage="1" showErrorMessage="1" promptTitle="Внутренний план набора" prompt="Если используется внутренние номера в компании, то требуется указать формат. Например 1ХХХ или 4ХХ" sqref="C57" xr:uid="{00000000-0002-0000-0100-000014000000}"/>
    <dataValidation allowBlank="1" showInputMessage="1" showErrorMessage="1" prompt="Заполняется, если необходимо сообщить дополнительные сведения, не вошедшие в обязательные поля." sqref="C66" xr:uid="{00000000-0002-0000-0100-000015000000}"/>
    <dataValidation allowBlank="1" showInputMessage="1" showErrorMessage="1" promptTitle="Емкость канала связи" prompt="Достаточная ширина канала связи (просчитывается автоматически)" sqref="C65" xr:uid="{00000000-0002-0000-0100-000016000000}"/>
    <dataValidation allowBlank="1" showInputMessage="1" showErrorMessage="1" promptTitle="Контактное лицо" prompt="BIN компании, 12 цифр_x000a_" sqref="C5 C16" xr:uid="{B3196794-CA19-4395-8F63-62FC22D0FC13}"/>
    <dataValidation allowBlank="1" showInputMessage="1" showErrorMessage="1" promptTitle="Контактное лицо" prompt="Юридическое название компании,_x000a_Например: ТОО, ИП, АО_x000a_" sqref="C6 C14" xr:uid="{C3E0A3E0-ED50-4217-845C-97EB59BFE4F2}"/>
    <dataValidation allowBlank="1" showInputMessage="1" showErrorMessage="1" promptTitle="Контактное лицо" prompt="Город регистрации компании_x000a_Например: Алматы" sqref="C7" xr:uid="{FC926D1E-7D06-41B7-8E54-4D2DB5E97F2E}"/>
    <dataValidation allowBlank="1" showInputMessage="1" showErrorMessage="1" promptTitle="Контактное лицо" prompt="Дата регистрации_x000a_Например: 30.02.2020" sqref="C8" xr:uid="{C97E4623-6ACC-437F-9F20-228D83A346AF}"/>
    <dataValidation allowBlank="1" showInputMessage="1" showErrorMessage="1" promptTitle="Контактное лицо" prompt="Юридический адрес компании_x000a_Например: город, улица, дом" sqref="C15" xr:uid="{7B450B82-B91C-446E-9C10-89F5EFEA36C7}"/>
    <dataValidation allowBlank="1" showInputMessage="1" showErrorMessage="1" promptTitle="Контактное лицо" prompt="IBAN компании, 20 цифр_x000a_" sqref="C17" xr:uid="{2D9B9DD3-11C3-4D90-A14B-00333FCD6AA8}"/>
    <dataValidation allowBlank="1" showInputMessage="1" showErrorMessage="1" promptTitle="Контактное лицо" sqref="C18" xr:uid="{F63DF42D-B1FD-4D0D-957C-9E48F90C0FF3}"/>
    <dataValidation allowBlank="1" showInputMessage="1" showErrorMessage="1" promptTitle="Контактное лицо" prompt="НАПРИМЕР: 17" sqref="C19" xr:uid="{555EBD1B-B37A-4753-98E9-DB34BB1D58D1}"/>
    <dataValidation allowBlank="1" showInputMessage="1" showErrorMessage="1" promptTitle="Контактное лицо" prompt="Название банка_x000a_НАПРИМЕР: Банк" sqref="C20" xr:uid="{93988DE4-6E8F-4932-B3C2-D801480F7DFA}"/>
    <dataValidation allowBlank="1" showInputMessage="1" showErrorMessage="1" promptTitle="Контактное лицо" prompt="ФИО ответственного за получение счет-фактур_x000a_НАПРИМЕР: Иванов Иван Иванович" sqref="C10" xr:uid="{A07F30D4-5A9A-40DE-B0FE-CAF535D682C9}"/>
    <dataValidation allowBlank="1" showInputMessage="1" showErrorMessage="1" promptTitle="Контактный Email" prompt="Электронный адрес специалиста, куда будут высланы счета-фактуры_x000a_" sqref="C12" xr:uid="{32DCC0F8-32C6-4B58-A525-D80D6266EEA0}"/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165">
              <controlPr defaultSize="0" print="0" autoFill="0" autoPict="0" macro="[0]!Macro4">
                <anchor moveWithCells="1" sizeWithCells="1">
                  <from>
                    <xdr:col>2</xdr:col>
                    <xdr:colOff>68580</xdr:colOff>
                    <xdr:row>39</xdr:row>
                    <xdr:rowOff>0</xdr:rowOff>
                  </from>
                  <to>
                    <xdr:col>2</xdr:col>
                    <xdr:colOff>2385060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Option Button 2">
              <controlPr defaultSize="0" autoFill="0" autoLine="0" autoPict="0" macro="[0]!Oprosnik_INT_Click">
                <anchor moveWithCells="1">
                  <from>
                    <xdr:col>2</xdr:col>
                    <xdr:colOff>571500</xdr:colOff>
                    <xdr:row>38</xdr:row>
                    <xdr:rowOff>213360</xdr:rowOff>
                  </from>
                  <to>
                    <xdr:col>2</xdr:col>
                    <xdr:colOff>1790700</xdr:colOff>
                    <xdr:row>38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Option Button 3">
              <controlPr defaultSize="0" autoFill="0" autoLine="0" autoPict="0" macro="[0]!Oprosnik_E1_Click">
                <anchor moveWithCells="1">
                  <from>
                    <xdr:col>2</xdr:col>
                    <xdr:colOff>571500</xdr:colOff>
                    <xdr:row>38</xdr:row>
                    <xdr:rowOff>533400</xdr:rowOff>
                  </from>
                  <to>
                    <xdr:col>2</xdr:col>
                    <xdr:colOff>1790700</xdr:colOff>
                    <xdr:row>38</xdr:row>
                    <xdr:rowOff>777240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Option Button 4">
              <controlPr defaultSize="0" autoFill="0" autoLine="0" autoPict="0" macro="[0]!Oprosnik_Direct_Click">
                <anchor moveWithCells="1">
                  <from>
                    <xdr:col>2</xdr:col>
                    <xdr:colOff>571500</xdr:colOff>
                    <xdr:row>38</xdr:row>
                    <xdr:rowOff>853440</xdr:rowOff>
                  </from>
                  <to>
                    <xdr:col>2</xdr:col>
                    <xdr:colOff>1790700</xdr:colOff>
                    <xdr:row>38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Group Box 5">
              <controlPr defaultSize="0" autoFill="0" autoPict="0">
                <anchor moveWithCells="1">
                  <from>
                    <xdr:col>2</xdr:col>
                    <xdr:colOff>441960</xdr:colOff>
                    <xdr:row>38</xdr:row>
                    <xdr:rowOff>99060</xdr:rowOff>
                  </from>
                  <to>
                    <xdr:col>2</xdr:col>
                    <xdr:colOff>2042160</xdr:colOff>
                    <xdr:row>38</xdr:row>
                    <xdr:rowOff>1196340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Group Box 6">
              <controlPr defaultSize="0" autoFill="0" autoPict="0">
                <anchor moveWithCells="1">
                  <from>
                    <xdr:col>2</xdr:col>
                    <xdr:colOff>129540</xdr:colOff>
                    <xdr:row>49</xdr:row>
                    <xdr:rowOff>114300</xdr:rowOff>
                  </from>
                  <to>
                    <xdr:col>2</xdr:col>
                    <xdr:colOff>2278380</xdr:colOff>
                    <xdr:row>49</xdr:row>
                    <xdr:rowOff>861060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Option Button 7">
              <controlPr defaultSize="0" autoFill="0" autoLine="0" autoPict="0" macro="[0]!vpn_yes">
                <anchor moveWithCells="1">
                  <from>
                    <xdr:col>2</xdr:col>
                    <xdr:colOff>190500</xdr:colOff>
                    <xdr:row>49</xdr:row>
                    <xdr:rowOff>449580</xdr:rowOff>
                  </from>
                  <to>
                    <xdr:col>2</xdr:col>
                    <xdr:colOff>2186940</xdr:colOff>
                    <xdr:row>49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OptionButton217">
              <controlPr defaultSize="0" autoFill="0" autoLine="0" autoPict="0" macro="[0]!vpn_no">
                <anchor moveWithCells="1">
                  <from>
                    <xdr:col>2</xdr:col>
                    <xdr:colOff>190500</xdr:colOff>
                    <xdr:row>49</xdr:row>
                    <xdr:rowOff>243840</xdr:rowOff>
                  </from>
                  <to>
                    <xdr:col>2</xdr:col>
                    <xdr:colOff>1257300</xdr:colOff>
                    <xdr:row>49</xdr:row>
                    <xdr:rowOff>487680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promptTitle="Город" prompt="НАПРИМЕР: г. Алматы" xr:uid="{00000000-0002-0000-0100-000018000000}">
          <x14:formula1>
            <xm:f>Validation!$A$98:$A$184</xm:f>
          </x14:formula1>
          <xm:sqref>C31</xm:sqref>
        </x14:dataValidation>
        <x14:dataValidation type="list" allowBlank="1" showInputMessage="1" showErrorMessage="1" xr:uid="{00000000-0002-0000-0100-000019000000}">
          <x14:formula1>
            <xm:f>Validation!$A$220:$A$222</xm:f>
          </x14:formula1>
          <xm:sqref>C42</xm:sqref>
        </x14:dataValidation>
        <x14:dataValidation type="list" allowBlank="1" showInputMessage="1" showErrorMessage="1" xr:uid="{00000000-0002-0000-0100-00001A000000}">
          <x14:formula1>
            <xm:f>Validation!$A$86:$A$89</xm:f>
          </x14:formula1>
          <xm:sqref>C36</xm:sqref>
        </x14:dataValidation>
        <x14:dataValidation type="list" allowBlank="1" showInputMessage="1" showErrorMessage="1" promptTitle="Протокол транспортного уровня" prompt="Предпочтительный протокол" xr:uid="{00000000-0002-0000-0100-00001B000000}">
          <x14:formula1>
            <xm:f>Validation!$A$1:$A$4</xm:f>
          </x14:formula1>
          <xm:sqref>C45</xm:sqref>
        </x14:dataValidation>
        <x14:dataValidation type="list" allowBlank="1" showInputMessage="1" promptTitle="Предпочтительное кодирование" prompt="какой из кодеков предпочтительнее использовать G.729 или G.711. " xr:uid="{00000000-0002-0000-0100-00001C000000}">
          <x14:formula1>
            <xm:f>Validation!$A$7:$A$9</xm:f>
          </x14:formula1>
          <xm:sqref>C64</xm:sqref>
        </x14:dataValidation>
        <x14:dataValidation type="list" allowBlank="1" showInputMessage="1" showErrorMessage="1" promptTitle="Протокол транспортного уровня" prompt="Предпочтительный протокол" xr:uid="{00000000-0002-0000-0100-00001D000000}">
          <x14:formula1>
            <xm:f>Validation!$A$77:$A$80</xm:f>
          </x14:formula1>
          <xm:sqref>C60</xm:sqref>
        </x14:dataValidation>
        <x14:dataValidation type="list" allowBlank="1" showInputMessage="1" promptTitle="Тип оборудования" prompt="Выберите из списка_x000a_" xr:uid="{00000000-0002-0000-0100-00001F000000}">
          <x14:formula1>
            <xm:f>Validation!$A$60:$A$66</xm:f>
          </x14:formula1>
          <xm:sqref>C28</xm:sqref>
        </x14:dataValidation>
        <x14:dataValidation type="list" allowBlank="1" showInputMessage="1" showErrorMessage="1" promptTitle="Поддержка ОКС-7" prompt="Подключение по ОКС 7, если нет возможности подключится через SIP или PRI, а есть возможность через ОКС7, то ставим тут галочку Yes" xr:uid="{00000000-0002-0000-0100-000020000000}">
          <x14:formula1>
            <xm:f>Validation!$B$7:$B$9</xm:f>
          </x14:formula1>
          <xm:sqref>C54</xm:sqref>
        </x14:dataValidation>
        <x14:dataValidation type="list" allowBlank="1" showInputMessage="1" showErrorMessage="1" promptTitle="Количество потоков Е1" prompt="Количество потоков, из расчета 1хЕ1 - 30 каналов или 30 единовременных звонков" xr:uid="{00000000-0002-0000-0100-000021000000}">
          <x14:formula1>
            <xm:f>Validation!$A$92:$A$96</xm:f>
          </x14:formula1>
          <xm:sqref>C56</xm:sqref>
        </x14:dataValidation>
        <x14:dataValidation type="list" allowBlank="1" showInputMessage="1" showErrorMessage="1" promptTitle="Предпочтительное кодирование" prompt="какой из кодеков предпочтительнее использовать G.729 или G.711. " xr:uid="{00000000-0002-0000-0100-000022000000}">
          <x14:formula1>
            <xm:f>Validation!$A$14:$A$16</xm:f>
          </x14:formula1>
          <xm:sqref>C49</xm:sqref>
        </x14:dataValidation>
        <x14:dataValidation type="list" allowBlank="1" showInputMessage="1" showErrorMessage="1" promptTitle="Поддержка EDSS 1" prompt="Если нет возможности подключения по SIP или ОКС 7, а есть PRI, то указать YES" xr:uid="{00000000-0002-0000-0100-000023000000}">
          <x14:formula1>
            <xm:f>Validation!$B$7:$B$9</xm:f>
          </x14:formula1>
          <xm:sqref>C53</xm:sqref>
        </x14:dataValidation>
        <x14:dataValidation type="list" allowBlank="1" showInputMessage="1" showErrorMessage="1" promptTitle="Исходящие звонки" prompt=" на международные направления" xr:uid="{00000000-0002-0000-0100-000024000000}">
          <x14:formula1>
            <xm:f>Validation!$B$7:$B$9</xm:f>
          </x14:formula1>
          <xm:sqref>C37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sheet____11">
    <tabColor rgb="FF0070C0"/>
  </sheetPr>
  <dimension ref="A1:D46"/>
  <sheetViews>
    <sheetView workbookViewId="0">
      <selection activeCell="F16" sqref="F16"/>
    </sheetView>
  </sheetViews>
  <sheetFormatPr defaultRowHeight="13.2" x14ac:dyDescent="0.25"/>
  <cols>
    <col min="1" max="1" width="29" style="15" bestFit="1" customWidth="1"/>
    <col min="2" max="2" width="21.88671875" style="15" bestFit="1" customWidth="1"/>
    <col min="3" max="3" width="25" style="15" bestFit="1" customWidth="1"/>
    <col min="4" max="4" width="43.6640625" style="15" bestFit="1" customWidth="1"/>
  </cols>
  <sheetData>
    <row r="1" spans="1:4" x14ac:dyDescent="0.25">
      <c r="A1" s="51" t="s">
        <v>262</v>
      </c>
      <c r="B1" s="51"/>
      <c r="C1" s="31" t="s">
        <v>281</v>
      </c>
      <c r="D1" s="31" t="s">
        <v>282</v>
      </c>
    </row>
    <row r="2" spans="1:4" x14ac:dyDescent="0.25">
      <c r="A2" s="52" t="s">
        <v>263</v>
      </c>
      <c r="B2" s="32" t="s">
        <v>4</v>
      </c>
      <c r="C2" s="33" t="s">
        <v>283</v>
      </c>
      <c r="D2" s="33" t="s">
        <v>284</v>
      </c>
    </row>
    <row r="3" spans="1:4" ht="22.8" x14ac:dyDescent="0.25">
      <c r="A3" s="52"/>
      <c r="B3" s="32" t="s">
        <v>264</v>
      </c>
      <c r="C3" s="33" t="s">
        <v>285</v>
      </c>
      <c r="D3" s="33" t="s">
        <v>284</v>
      </c>
    </row>
    <row r="4" spans="1:4" ht="12.75" customHeight="1" x14ac:dyDescent="0.25">
      <c r="A4" s="52"/>
      <c r="B4" s="32" t="s">
        <v>265</v>
      </c>
      <c r="C4" s="33" t="s">
        <v>286</v>
      </c>
      <c r="D4" s="33" t="s">
        <v>284</v>
      </c>
    </row>
    <row r="5" spans="1:4" x14ac:dyDescent="0.25">
      <c r="A5" s="52"/>
      <c r="B5" s="32" t="s">
        <v>266</v>
      </c>
      <c r="C5" s="33">
        <v>77012119525</v>
      </c>
      <c r="D5" s="33" t="s">
        <v>284</v>
      </c>
    </row>
    <row r="6" spans="1:4" x14ac:dyDescent="0.25">
      <c r="A6" s="29"/>
    </row>
    <row r="7" spans="1:4" x14ac:dyDescent="0.25">
      <c r="A7" s="51" t="s">
        <v>262</v>
      </c>
      <c r="B7" s="51"/>
      <c r="C7" s="31" t="s">
        <v>281</v>
      </c>
      <c r="D7" s="31" t="s">
        <v>282</v>
      </c>
    </row>
    <row r="8" spans="1:4" x14ac:dyDescent="0.25">
      <c r="A8" s="52" t="s">
        <v>287</v>
      </c>
      <c r="B8" s="32" t="s">
        <v>4</v>
      </c>
      <c r="C8" s="33" t="s">
        <v>288</v>
      </c>
      <c r="D8" s="33" t="s">
        <v>284</v>
      </c>
    </row>
    <row r="9" spans="1:4" ht="22.8" x14ac:dyDescent="0.25">
      <c r="A9" s="52"/>
      <c r="B9" s="32" t="s">
        <v>264</v>
      </c>
      <c r="C9" s="33" t="s">
        <v>267</v>
      </c>
      <c r="D9" s="33" t="s">
        <v>284</v>
      </c>
    </row>
    <row r="10" spans="1:4" x14ac:dyDescent="0.25">
      <c r="A10" s="52"/>
      <c r="B10" s="32" t="s">
        <v>265</v>
      </c>
      <c r="C10" s="33">
        <v>77012111415</v>
      </c>
      <c r="D10" s="33" t="s">
        <v>284</v>
      </c>
    </row>
    <row r="11" spans="1:4" ht="18.600000000000001" customHeight="1" x14ac:dyDescent="0.25">
      <c r="A11" s="52"/>
      <c r="B11" s="32" t="s">
        <v>266</v>
      </c>
      <c r="C11" s="33">
        <v>77012111415</v>
      </c>
      <c r="D11" s="33" t="s">
        <v>284</v>
      </c>
    </row>
    <row r="12" spans="1:4" ht="12.75" customHeight="1" x14ac:dyDescent="0.25">
      <c r="A12" s="29"/>
    </row>
    <row r="13" spans="1:4" x14ac:dyDescent="0.25">
      <c r="A13" s="29"/>
    </row>
    <row r="14" spans="1:4" ht="25.2" x14ac:dyDescent="0.25">
      <c r="A14" s="34" t="s">
        <v>289</v>
      </c>
      <c r="B14" s="31" t="s">
        <v>290</v>
      </c>
      <c r="C14" s="31" t="s">
        <v>282</v>
      </c>
    </row>
    <row r="15" spans="1:4" x14ac:dyDescent="0.25">
      <c r="A15" s="32" t="s">
        <v>4</v>
      </c>
      <c r="B15" s="33" t="s">
        <v>5</v>
      </c>
      <c r="C15" s="33" t="s">
        <v>284</v>
      </c>
    </row>
    <row r="16" spans="1:4" x14ac:dyDescent="0.25">
      <c r="A16" s="32" t="s">
        <v>6</v>
      </c>
      <c r="B16" s="33" t="s">
        <v>7</v>
      </c>
      <c r="C16" s="33" t="s">
        <v>284</v>
      </c>
    </row>
    <row r="17" spans="1:4" x14ac:dyDescent="0.25">
      <c r="A17" s="32" t="s">
        <v>291</v>
      </c>
      <c r="B17" s="33" t="s">
        <v>8</v>
      </c>
      <c r="C17" s="33" t="s">
        <v>284</v>
      </c>
    </row>
    <row r="18" spans="1:4" x14ac:dyDescent="0.25">
      <c r="A18" s="32" t="s">
        <v>292</v>
      </c>
      <c r="B18" s="33" t="s">
        <v>293</v>
      </c>
      <c r="C18" s="33" t="s">
        <v>284</v>
      </c>
    </row>
    <row r="19" spans="1:4" x14ac:dyDescent="0.25">
      <c r="A19" s="29"/>
    </row>
    <row r="20" spans="1:4" x14ac:dyDescent="0.25">
      <c r="A20" s="29"/>
    </row>
    <row r="21" spans="1:4" x14ac:dyDescent="0.25">
      <c r="A21" s="51" t="s">
        <v>250</v>
      </c>
      <c r="B21" s="51"/>
      <c r="C21" s="31" t="s">
        <v>290</v>
      </c>
      <c r="D21" s="31" t="s">
        <v>282</v>
      </c>
    </row>
    <row r="22" spans="1:4" ht="12.75" customHeight="1" x14ac:dyDescent="0.25">
      <c r="A22" s="54" t="s">
        <v>294</v>
      </c>
      <c r="B22" s="32" t="s">
        <v>9</v>
      </c>
      <c r="C22" s="33" t="s">
        <v>10</v>
      </c>
      <c r="D22" s="33" t="s">
        <v>10</v>
      </c>
    </row>
    <row r="23" spans="1:4" x14ac:dyDescent="0.25">
      <c r="A23" s="54"/>
      <c r="B23" s="32" t="s">
        <v>295</v>
      </c>
      <c r="C23" s="33" t="s">
        <v>11</v>
      </c>
      <c r="D23" s="33" t="s">
        <v>284</v>
      </c>
    </row>
    <row r="24" spans="1:4" x14ac:dyDescent="0.25">
      <c r="A24" s="54"/>
      <c r="B24" s="32" t="s">
        <v>12</v>
      </c>
      <c r="C24" s="33" t="s">
        <v>13</v>
      </c>
      <c r="D24" s="33" t="s">
        <v>284</v>
      </c>
    </row>
    <row r="25" spans="1:4" ht="22.8" x14ac:dyDescent="0.25">
      <c r="A25" s="54"/>
      <c r="B25" s="32" t="s">
        <v>14</v>
      </c>
      <c r="C25" s="33" t="s">
        <v>296</v>
      </c>
      <c r="D25" s="33" t="s">
        <v>284</v>
      </c>
    </row>
    <row r="26" spans="1:4" x14ac:dyDescent="0.25">
      <c r="A26" s="54"/>
      <c r="B26" s="32" t="s">
        <v>15</v>
      </c>
      <c r="C26" s="33" t="s">
        <v>31</v>
      </c>
      <c r="D26" s="33" t="s">
        <v>284</v>
      </c>
    </row>
    <row r="27" spans="1:4" ht="22.8" x14ac:dyDescent="0.25">
      <c r="A27" s="54"/>
      <c r="B27" s="32" t="s">
        <v>16</v>
      </c>
      <c r="C27" s="33" t="s">
        <v>17</v>
      </c>
      <c r="D27" s="33" t="s">
        <v>284</v>
      </c>
    </row>
    <row r="28" spans="1:4" ht="22.8" x14ac:dyDescent="0.25">
      <c r="A28" s="54"/>
      <c r="B28" s="32" t="s">
        <v>18</v>
      </c>
      <c r="C28" s="33" t="s">
        <v>19</v>
      </c>
      <c r="D28" s="33" t="s">
        <v>284</v>
      </c>
    </row>
    <row r="29" spans="1:4" ht="22.8" x14ac:dyDescent="0.25">
      <c r="A29" s="54" t="s">
        <v>297</v>
      </c>
      <c r="B29" s="32" t="s">
        <v>251</v>
      </c>
      <c r="C29" s="33" t="s">
        <v>254</v>
      </c>
      <c r="D29" s="33" t="s">
        <v>284</v>
      </c>
    </row>
    <row r="30" spans="1:4" x14ac:dyDescent="0.25">
      <c r="A30" s="54"/>
      <c r="B30" s="32" t="s">
        <v>298</v>
      </c>
      <c r="C30" s="33" t="s">
        <v>296</v>
      </c>
      <c r="D30" s="33" t="s">
        <v>284</v>
      </c>
    </row>
    <row r="31" spans="1:4" ht="22.8" x14ac:dyDescent="0.25">
      <c r="A31" s="54"/>
      <c r="B31" s="32" t="s">
        <v>299</v>
      </c>
      <c r="C31" s="33" t="s">
        <v>31</v>
      </c>
      <c r="D31" s="33" t="s">
        <v>284</v>
      </c>
    </row>
    <row r="32" spans="1:4" ht="22.8" x14ac:dyDescent="0.25">
      <c r="A32" s="54"/>
      <c r="B32" s="32" t="s">
        <v>252</v>
      </c>
      <c r="C32" s="33" t="s">
        <v>255</v>
      </c>
      <c r="D32" s="33" t="s">
        <v>284</v>
      </c>
    </row>
    <row r="33" spans="1:4" ht="22.8" x14ac:dyDescent="0.25">
      <c r="A33" s="54"/>
      <c r="B33" s="32" t="s">
        <v>18</v>
      </c>
      <c r="C33" s="33" t="s">
        <v>256</v>
      </c>
      <c r="D33" s="33" t="s">
        <v>284</v>
      </c>
    </row>
    <row r="34" spans="1:4" ht="22.8" x14ac:dyDescent="0.25">
      <c r="A34" s="54"/>
      <c r="B34" s="32" t="s">
        <v>253</v>
      </c>
      <c r="C34" s="33" t="s">
        <v>255</v>
      </c>
      <c r="D34" s="33" t="s">
        <v>284</v>
      </c>
    </row>
    <row r="35" spans="1:4" x14ac:dyDescent="0.25">
      <c r="A35" s="30" t="s">
        <v>300</v>
      </c>
    </row>
    <row r="36" spans="1:4" x14ac:dyDescent="0.25">
      <c r="A36" s="51" t="s">
        <v>301</v>
      </c>
      <c r="B36" s="35" t="s">
        <v>302</v>
      </c>
      <c r="C36" s="35" t="s">
        <v>303</v>
      </c>
      <c r="D36" s="55" t="s">
        <v>304</v>
      </c>
    </row>
    <row r="37" spans="1:4" x14ac:dyDescent="0.25">
      <c r="A37" s="51"/>
      <c r="B37" s="35" t="s">
        <v>305</v>
      </c>
      <c r="C37" s="35" t="s">
        <v>305</v>
      </c>
      <c r="D37" s="55"/>
    </row>
    <row r="38" spans="1:4" x14ac:dyDescent="0.25">
      <c r="A38" s="51"/>
      <c r="B38" s="35" t="s">
        <v>306</v>
      </c>
      <c r="C38" s="35" t="s">
        <v>306</v>
      </c>
      <c r="D38" s="55"/>
    </row>
    <row r="39" spans="1:4" x14ac:dyDescent="0.25">
      <c r="A39" s="36" t="s">
        <v>307</v>
      </c>
      <c r="B39" s="37"/>
      <c r="C39" s="38"/>
      <c r="D39" s="39"/>
    </row>
    <row r="40" spans="1:4" x14ac:dyDescent="0.25">
      <c r="A40" s="36" t="s">
        <v>308</v>
      </c>
      <c r="B40" s="40"/>
      <c r="C40" s="37"/>
      <c r="D40" s="39"/>
    </row>
    <row r="41" spans="1:4" x14ac:dyDescent="0.25">
      <c r="A41" s="29"/>
    </row>
    <row r="42" spans="1:4" ht="52.2" customHeight="1" x14ac:dyDescent="0.25">
      <c r="A42" s="56" t="s">
        <v>309</v>
      </c>
      <c r="B42" s="56"/>
      <c r="C42" s="56"/>
      <c r="D42" s="56"/>
    </row>
    <row r="43" spans="1:4" x14ac:dyDescent="0.25">
      <c r="A43" s="53" t="s">
        <v>310</v>
      </c>
      <c r="B43" s="53"/>
      <c r="C43" s="53"/>
      <c r="D43" s="53"/>
    </row>
    <row r="44" spans="1:4" x14ac:dyDescent="0.25">
      <c r="A44" s="53" t="s">
        <v>311</v>
      </c>
      <c r="B44" s="53"/>
      <c r="C44" s="53"/>
      <c r="D44" s="53"/>
    </row>
    <row r="45" spans="1:4" x14ac:dyDescent="0.25">
      <c r="A45" s="53" t="s">
        <v>312</v>
      </c>
      <c r="B45" s="53"/>
      <c r="C45" s="53"/>
      <c r="D45" s="53"/>
    </row>
    <row r="46" spans="1:4" x14ac:dyDescent="0.25">
      <c r="A46" s="29"/>
    </row>
  </sheetData>
  <mergeCells count="13">
    <mergeCell ref="A43:D43"/>
    <mergeCell ref="A44:D44"/>
    <mergeCell ref="A45:D45"/>
    <mergeCell ref="A22:A28"/>
    <mergeCell ref="A29:A34"/>
    <mergeCell ref="A36:A38"/>
    <mergeCell ref="D36:D38"/>
    <mergeCell ref="A42:D42"/>
    <mergeCell ref="A1:B1"/>
    <mergeCell ref="A2:A5"/>
    <mergeCell ref="A7:B7"/>
    <mergeCell ref="A8:A11"/>
    <mergeCell ref="A21:B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vpn_no">
                <anchor moveWithCells="1" sizeWithCells="1">
                  <from>
                    <xdr:col>7</xdr:col>
                    <xdr:colOff>0</xdr:colOff>
                    <xdr:row>0</xdr:row>
                    <xdr:rowOff>167640</xdr:rowOff>
                  </from>
                  <to>
                    <xdr:col>11</xdr:col>
                    <xdr:colOff>15240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222"/>
  <sheetViews>
    <sheetView topLeftCell="A76" workbookViewId="0">
      <selection activeCell="G24" sqref="G24"/>
    </sheetView>
  </sheetViews>
  <sheetFormatPr defaultRowHeight="13.2" x14ac:dyDescent="0.25"/>
  <cols>
    <col min="1" max="1" width="54" bestFit="1" customWidth="1"/>
    <col min="2" max="2" width="20.6640625" bestFit="1" customWidth="1"/>
    <col min="3" max="3" width="19.6640625" bestFit="1" customWidth="1"/>
  </cols>
  <sheetData>
    <row r="1" spans="1:4" x14ac:dyDescent="0.25">
      <c r="A1" s="7" t="s">
        <v>29</v>
      </c>
      <c r="B1" s="3" t="s">
        <v>127</v>
      </c>
      <c r="C1" s="3" t="s">
        <v>223</v>
      </c>
    </row>
    <row r="2" spans="1:4" x14ac:dyDescent="0.25">
      <c r="A2" s="12" t="s">
        <v>87</v>
      </c>
      <c r="B2" s="16">
        <v>1</v>
      </c>
      <c r="C2" t="e">
        <f>SUMPRODUCT(LEN(#REF!)-LEN(SUBSTITUTE(#REF!,{"X"},"")))</f>
        <v>#REF!</v>
      </c>
    </row>
    <row r="3" spans="1:4" x14ac:dyDescent="0.25">
      <c r="A3" s="12" t="s">
        <v>88</v>
      </c>
    </row>
    <row r="4" spans="1:4" x14ac:dyDescent="0.25">
      <c r="A4" s="12" t="s">
        <v>89</v>
      </c>
    </row>
    <row r="7" spans="1:4" x14ac:dyDescent="0.25">
      <c r="A7" s="7" t="s">
        <v>29</v>
      </c>
      <c r="B7" s="7" t="s">
        <v>29</v>
      </c>
    </row>
    <row r="8" spans="1:4" x14ac:dyDescent="0.25">
      <c r="A8" s="3" t="s">
        <v>20</v>
      </c>
      <c r="B8" s="3" t="s">
        <v>221</v>
      </c>
    </row>
    <row r="9" spans="1:4" x14ac:dyDescent="0.25">
      <c r="A9" s="3" t="s">
        <v>21</v>
      </c>
      <c r="B9" s="3" t="s">
        <v>222</v>
      </c>
    </row>
    <row r="13" spans="1:4" x14ac:dyDescent="0.25">
      <c r="B13" s="14" t="s">
        <v>128</v>
      </c>
      <c r="C13" s="14" t="s">
        <v>130</v>
      </c>
      <c r="D13" s="14" t="s">
        <v>82</v>
      </c>
    </row>
    <row r="14" spans="1:4" x14ac:dyDescent="0.25">
      <c r="A14" s="7" t="s">
        <v>29</v>
      </c>
      <c r="B14" s="14" t="s">
        <v>129</v>
      </c>
      <c r="C14" s="14" t="s">
        <v>129</v>
      </c>
      <c r="D14" s="15"/>
    </row>
    <row r="15" spans="1:4" x14ac:dyDescent="0.25">
      <c r="A15" s="3" t="s">
        <v>20</v>
      </c>
    </row>
    <row r="16" spans="1:4" x14ac:dyDescent="0.25">
      <c r="A16" s="3" t="s">
        <v>21</v>
      </c>
      <c r="B16" s="3" t="s">
        <v>131</v>
      </c>
      <c r="C16" s="3" t="s">
        <v>132</v>
      </c>
    </row>
    <row r="17" spans="1:2" x14ac:dyDescent="0.25">
      <c r="B17" s="3" t="s">
        <v>129</v>
      </c>
    </row>
    <row r="18" spans="1:2" x14ac:dyDescent="0.25">
      <c r="A18" s="1" t="s">
        <v>38</v>
      </c>
    </row>
    <row r="19" spans="1:2" x14ac:dyDescent="0.25">
      <c r="A19" s="1" t="s">
        <v>39</v>
      </c>
    </row>
    <row r="20" spans="1:2" x14ac:dyDescent="0.25">
      <c r="A20" s="9" t="s">
        <v>77</v>
      </c>
    </row>
    <row r="21" spans="1:2" x14ac:dyDescent="0.25">
      <c r="A21" s="9" t="s">
        <v>78</v>
      </c>
    </row>
    <row r="22" spans="1:2" x14ac:dyDescent="0.25">
      <c r="A22" s="1"/>
    </row>
    <row r="23" spans="1:2" x14ac:dyDescent="0.25">
      <c r="A23" s="1" t="s">
        <v>37</v>
      </c>
    </row>
    <row r="24" spans="1:2" x14ac:dyDescent="0.25">
      <c r="A24" s="1"/>
    </row>
    <row r="25" spans="1:2" x14ac:dyDescent="0.25">
      <c r="A25" s="1" t="s">
        <v>51</v>
      </c>
    </row>
    <row r="26" spans="1:2" x14ac:dyDescent="0.25">
      <c r="A26" s="1" t="s">
        <v>41</v>
      </c>
    </row>
    <row r="27" spans="1:2" x14ac:dyDescent="0.25">
      <c r="A27" s="1" t="s">
        <v>52</v>
      </c>
    </row>
    <row r="28" spans="1:2" x14ac:dyDescent="0.25">
      <c r="A28" s="1"/>
    </row>
    <row r="29" spans="1:2" x14ac:dyDescent="0.25">
      <c r="A29" s="2" t="s">
        <v>33</v>
      </c>
    </row>
    <row r="30" spans="1:2" x14ac:dyDescent="0.25">
      <c r="A30" s="2" t="s">
        <v>36</v>
      </c>
    </row>
    <row r="31" spans="1:2" x14ac:dyDescent="0.25">
      <c r="A31" s="2" t="s">
        <v>34</v>
      </c>
    </row>
    <row r="32" spans="1:2" x14ac:dyDescent="0.25">
      <c r="A32" s="2" t="s">
        <v>35</v>
      </c>
    </row>
    <row r="33" spans="1:1" x14ac:dyDescent="0.25">
      <c r="A33" s="1"/>
    </row>
    <row r="34" spans="1:1" x14ac:dyDescent="0.25">
      <c r="A34" s="1" t="s">
        <v>53</v>
      </c>
    </row>
    <row r="35" spans="1:1" x14ac:dyDescent="0.25">
      <c r="A35" s="1" t="s">
        <v>54</v>
      </c>
    </row>
    <row r="36" spans="1:1" x14ac:dyDescent="0.25">
      <c r="A36" s="1" t="s">
        <v>81</v>
      </c>
    </row>
    <row r="37" spans="1:1" x14ac:dyDescent="0.25">
      <c r="A37" s="1" t="s">
        <v>55</v>
      </c>
    </row>
    <row r="38" spans="1:1" x14ac:dyDescent="0.25">
      <c r="A38" s="1" t="s">
        <v>58</v>
      </c>
    </row>
    <row r="39" spans="1:1" x14ac:dyDescent="0.25">
      <c r="A39" s="1" t="s">
        <v>56</v>
      </c>
    </row>
    <row r="40" spans="1:1" x14ac:dyDescent="0.25">
      <c r="A40" s="1" t="s">
        <v>57</v>
      </c>
    </row>
    <row r="41" spans="1:1" x14ac:dyDescent="0.25">
      <c r="A41" s="1"/>
    </row>
    <row r="42" spans="1:1" x14ac:dyDescent="0.25">
      <c r="A42" s="9" t="s">
        <v>76</v>
      </c>
    </row>
    <row r="43" spans="1:1" x14ac:dyDescent="0.25">
      <c r="A43" s="9" t="s">
        <v>75</v>
      </c>
    </row>
    <row r="44" spans="1:1" x14ac:dyDescent="0.25">
      <c r="A44" s="9" t="s">
        <v>74</v>
      </c>
    </row>
    <row r="45" spans="1:1" x14ac:dyDescent="0.25">
      <c r="A45" s="9" t="s">
        <v>73</v>
      </c>
    </row>
    <row r="46" spans="1:1" x14ac:dyDescent="0.25">
      <c r="A46" s="1"/>
    </row>
    <row r="47" spans="1:1" x14ac:dyDescent="0.25">
      <c r="A47" s="1"/>
    </row>
    <row r="48" spans="1:1" x14ac:dyDescent="0.25">
      <c r="A48" s="1" t="s">
        <v>61</v>
      </c>
    </row>
    <row r="49" spans="1:1" x14ac:dyDescent="0.25">
      <c r="A49" s="1" t="s">
        <v>62</v>
      </c>
    </row>
    <row r="50" spans="1:1" x14ac:dyDescent="0.25">
      <c r="A50" s="1" t="s">
        <v>63</v>
      </c>
    </row>
    <row r="51" spans="1:1" x14ac:dyDescent="0.25">
      <c r="A51" s="1" t="s">
        <v>64</v>
      </c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9" t="s">
        <v>82</v>
      </c>
    </row>
    <row r="56" spans="1:1" x14ac:dyDescent="0.25">
      <c r="A56" s="1" t="s">
        <v>66</v>
      </c>
    </row>
    <row r="57" spans="1:1" x14ac:dyDescent="0.25">
      <c r="A57" s="1" t="s">
        <v>67</v>
      </c>
    </row>
    <row r="58" spans="1:1" x14ac:dyDescent="0.25">
      <c r="A58" s="1" t="s">
        <v>83</v>
      </c>
    </row>
    <row r="59" spans="1:1" x14ac:dyDescent="0.25">
      <c r="A59" s="1"/>
    </row>
    <row r="60" spans="1:1" x14ac:dyDescent="0.25">
      <c r="A60" s="7" t="s">
        <v>29</v>
      </c>
    </row>
    <row r="61" spans="1:1" x14ac:dyDescent="0.25">
      <c r="A61" s="2" t="s">
        <v>112</v>
      </c>
    </row>
    <row r="62" spans="1:1" x14ac:dyDescent="0.25">
      <c r="A62" s="2" t="s">
        <v>113</v>
      </c>
    </row>
    <row r="63" spans="1:1" x14ac:dyDescent="0.25">
      <c r="A63" s="2" t="s">
        <v>114</v>
      </c>
    </row>
    <row r="64" spans="1:1" x14ac:dyDescent="0.25">
      <c r="A64" s="2" t="s">
        <v>115</v>
      </c>
    </row>
    <row r="65" spans="1:1" x14ac:dyDescent="0.25">
      <c r="A65" s="2" t="s">
        <v>116</v>
      </c>
    </row>
    <row r="66" spans="1:1" x14ac:dyDescent="0.25">
      <c r="A66" s="2" t="s">
        <v>117</v>
      </c>
    </row>
    <row r="67" spans="1:1" x14ac:dyDescent="0.25">
      <c r="A67" s="1"/>
    </row>
    <row r="68" spans="1:1" x14ac:dyDescent="0.25">
      <c r="A68" s="1" t="s">
        <v>68</v>
      </c>
    </row>
    <row r="69" spans="1:1" x14ac:dyDescent="0.25">
      <c r="A69" s="1" t="s">
        <v>69</v>
      </c>
    </row>
    <row r="70" spans="1:1" x14ac:dyDescent="0.25">
      <c r="A70" s="1" t="s">
        <v>70</v>
      </c>
    </row>
    <row r="71" spans="1:1" x14ac:dyDescent="0.25">
      <c r="A71" s="1" t="s">
        <v>71</v>
      </c>
    </row>
    <row r="72" spans="1:1" x14ac:dyDescent="0.25">
      <c r="A72" s="1" t="s">
        <v>72</v>
      </c>
    </row>
    <row r="73" spans="1:1" x14ac:dyDescent="0.25">
      <c r="A73" s="1"/>
    </row>
    <row r="74" spans="1:1" x14ac:dyDescent="0.25">
      <c r="A74" s="1"/>
    </row>
    <row r="75" spans="1:1" x14ac:dyDescent="0.25">
      <c r="A75" s="1" t="s">
        <v>77</v>
      </c>
    </row>
    <row r="76" spans="1:1" x14ac:dyDescent="0.25">
      <c r="A76" s="1" t="s">
        <v>110</v>
      </c>
    </row>
    <row r="77" spans="1:1" x14ac:dyDescent="0.25">
      <c r="A77" s="7" t="s">
        <v>29</v>
      </c>
    </row>
    <row r="78" spans="1:1" x14ac:dyDescent="0.25">
      <c r="A78" s="2" t="s">
        <v>87</v>
      </c>
    </row>
    <row r="79" spans="1:1" x14ac:dyDescent="0.25">
      <c r="A79" s="9" t="s">
        <v>88</v>
      </c>
    </row>
    <row r="80" spans="1:1" x14ac:dyDescent="0.25">
      <c r="A80" s="9" t="s">
        <v>89</v>
      </c>
    </row>
    <row r="81" spans="1:1" x14ac:dyDescent="0.25">
      <c r="A81" s="1"/>
    </row>
    <row r="82" spans="1:1" x14ac:dyDescent="0.25">
      <c r="A82" s="1" t="s">
        <v>79</v>
      </c>
    </row>
    <row r="83" spans="1:1" x14ac:dyDescent="0.25">
      <c r="A83" s="1" t="s">
        <v>78</v>
      </c>
    </row>
    <row r="84" spans="1:1" x14ac:dyDescent="0.25">
      <c r="A84" s="1" t="s">
        <v>80</v>
      </c>
    </row>
    <row r="86" spans="1:1" x14ac:dyDescent="0.25">
      <c r="A86" s="7" t="s">
        <v>29</v>
      </c>
    </row>
    <row r="87" spans="1:1" x14ac:dyDescent="0.25">
      <c r="A87" s="1" t="s">
        <v>59</v>
      </c>
    </row>
    <row r="88" spans="1:1" x14ac:dyDescent="0.25">
      <c r="A88" s="1" t="s">
        <v>60</v>
      </c>
    </row>
    <row r="89" spans="1:1" x14ac:dyDescent="0.25">
      <c r="A89" s="9" t="s">
        <v>109</v>
      </c>
    </row>
    <row r="92" spans="1:1" x14ac:dyDescent="0.25">
      <c r="A92" s="7" t="s">
        <v>29</v>
      </c>
    </row>
    <row r="93" spans="1:1" x14ac:dyDescent="0.25">
      <c r="A93" s="3" t="s">
        <v>22</v>
      </c>
    </row>
    <row r="94" spans="1:1" x14ac:dyDescent="0.25">
      <c r="A94" s="3" t="s">
        <v>23</v>
      </c>
    </row>
    <row r="95" spans="1:1" x14ac:dyDescent="0.25">
      <c r="A95" s="3" t="s">
        <v>24</v>
      </c>
    </row>
    <row r="96" spans="1:1" x14ac:dyDescent="0.25">
      <c r="A96" s="3" t="s">
        <v>25</v>
      </c>
    </row>
    <row r="98" spans="1:1" x14ac:dyDescent="0.25">
      <c r="A98" s="7" t="s">
        <v>29</v>
      </c>
    </row>
    <row r="99" spans="1:1" x14ac:dyDescent="0.25">
      <c r="A99" t="s">
        <v>133</v>
      </c>
    </row>
    <row r="100" spans="1:1" x14ac:dyDescent="0.25">
      <c r="A100" t="s">
        <v>134</v>
      </c>
    </row>
    <row r="101" spans="1:1" x14ac:dyDescent="0.25">
      <c r="A101" t="s">
        <v>135</v>
      </c>
    </row>
    <row r="102" spans="1:1" x14ac:dyDescent="0.25">
      <c r="A102" t="s">
        <v>136</v>
      </c>
    </row>
    <row r="103" spans="1:1" x14ac:dyDescent="0.25">
      <c r="A103" t="s">
        <v>137</v>
      </c>
    </row>
    <row r="104" spans="1:1" x14ac:dyDescent="0.25">
      <c r="A104" t="s">
        <v>138</v>
      </c>
    </row>
    <row r="105" spans="1:1" x14ac:dyDescent="0.25">
      <c r="A105" t="s">
        <v>139</v>
      </c>
    </row>
    <row r="106" spans="1:1" x14ac:dyDescent="0.25">
      <c r="A106" t="s">
        <v>140</v>
      </c>
    </row>
    <row r="107" spans="1:1" x14ac:dyDescent="0.25">
      <c r="A107" t="s">
        <v>141</v>
      </c>
    </row>
    <row r="108" spans="1:1" x14ac:dyDescent="0.25">
      <c r="A108" t="s">
        <v>142</v>
      </c>
    </row>
    <row r="109" spans="1:1" x14ac:dyDescent="0.25">
      <c r="A109" t="s">
        <v>143</v>
      </c>
    </row>
    <row r="110" spans="1:1" x14ac:dyDescent="0.25">
      <c r="A110" t="s">
        <v>144</v>
      </c>
    </row>
    <row r="111" spans="1:1" x14ac:dyDescent="0.25">
      <c r="A111" t="s">
        <v>145</v>
      </c>
    </row>
    <row r="112" spans="1:1" x14ac:dyDescent="0.25">
      <c r="A112" t="s">
        <v>146</v>
      </c>
    </row>
    <row r="113" spans="1:1" x14ac:dyDescent="0.25">
      <c r="A113" t="s">
        <v>147</v>
      </c>
    </row>
    <row r="114" spans="1:1" x14ac:dyDescent="0.25">
      <c r="A114" t="s">
        <v>148</v>
      </c>
    </row>
    <row r="115" spans="1:1" x14ac:dyDescent="0.25">
      <c r="A115" t="s">
        <v>149</v>
      </c>
    </row>
    <row r="116" spans="1:1" x14ac:dyDescent="0.25">
      <c r="A116" t="s">
        <v>150</v>
      </c>
    </row>
    <row r="117" spans="1:1" x14ac:dyDescent="0.25">
      <c r="A117" t="s">
        <v>151</v>
      </c>
    </row>
    <row r="118" spans="1:1" x14ac:dyDescent="0.25">
      <c r="A118" t="s">
        <v>152</v>
      </c>
    </row>
    <row r="119" spans="1:1" x14ac:dyDescent="0.25">
      <c r="A119" t="s">
        <v>153</v>
      </c>
    </row>
    <row r="120" spans="1:1" x14ac:dyDescent="0.25">
      <c r="A120" t="s">
        <v>154</v>
      </c>
    </row>
    <row r="121" spans="1:1" x14ac:dyDescent="0.25">
      <c r="A121" t="s">
        <v>155</v>
      </c>
    </row>
    <row r="122" spans="1:1" x14ac:dyDescent="0.25">
      <c r="A122" t="s">
        <v>156</v>
      </c>
    </row>
    <row r="123" spans="1:1" x14ac:dyDescent="0.25">
      <c r="A123" t="s">
        <v>157</v>
      </c>
    </row>
    <row r="124" spans="1:1" x14ac:dyDescent="0.25">
      <c r="A124" t="s">
        <v>158</v>
      </c>
    </row>
    <row r="125" spans="1:1" x14ac:dyDescent="0.25">
      <c r="A125" t="s">
        <v>159</v>
      </c>
    </row>
    <row r="126" spans="1:1" x14ac:dyDescent="0.25">
      <c r="A126" t="s">
        <v>160</v>
      </c>
    </row>
    <row r="127" spans="1:1" x14ac:dyDescent="0.25">
      <c r="A127" t="s">
        <v>161</v>
      </c>
    </row>
    <row r="128" spans="1:1" x14ac:dyDescent="0.25">
      <c r="A128" t="s">
        <v>162</v>
      </c>
    </row>
    <row r="129" spans="1:1" x14ac:dyDescent="0.25">
      <c r="A129" t="s">
        <v>163</v>
      </c>
    </row>
    <row r="130" spans="1:1" x14ac:dyDescent="0.25">
      <c r="A130" t="s">
        <v>164</v>
      </c>
    </row>
    <row r="131" spans="1:1" x14ac:dyDescent="0.25">
      <c r="A131" t="s">
        <v>165</v>
      </c>
    </row>
    <row r="132" spans="1:1" x14ac:dyDescent="0.25">
      <c r="A132" t="s">
        <v>166</v>
      </c>
    </row>
    <row r="133" spans="1:1" x14ac:dyDescent="0.25">
      <c r="A133" t="s">
        <v>167</v>
      </c>
    </row>
    <row r="134" spans="1:1" x14ac:dyDescent="0.25">
      <c r="A134" t="s">
        <v>168</v>
      </c>
    </row>
    <row r="135" spans="1:1" x14ac:dyDescent="0.25">
      <c r="A135" t="s">
        <v>169</v>
      </c>
    </row>
    <row r="136" spans="1:1" x14ac:dyDescent="0.25">
      <c r="A136" t="s">
        <v>170</v>
      </c>
    </row>
    <row r="137" spans="1:1" x14ac:dyDescent="0.25">
      <c r="A137" t="s">
        <v>171</v>
      </c>
    </row>
    <row r="138" spans="1:1" x14ac:dyDescent="0.25">
      <c r="A138" t="s">
        <v>172</v>
      </c>
    </row>
    <row r="139" spans="1:1" x14ac:dyDescent="0.25">
      <c r="A139" t="s">
        <v>173</v>
      </c>
    </row>
    <row r="140" spans="1:1" x14ac:dyDescent="0.25">
      <c r="A140" t="s">
        <v>174</v>
      </c>
    </row>
    <row r="141" spans="1:1" x14ac:dyDescent="0.25">
      <c r="A141" t="s">
        <v>175</v>
      </c>
    </row>
    <row r="142" spans="1:1" x14ac:dyDescent="0.25">
      <c r="A142" t="s">
        <v>176</v>
      </c>
    </row>
    <row r="143" spans="1:1" x14ac:dyDescent="0.25">
      <c r="A143" t="s">
        <v>177</v>
      </c>
    </row>
    <row r="144" spans="1:1" x14ac:dyDescent="0.25">
      <c r="A144" t="s">
        <v>178</v>
      </c>
    </row>
    <row r="145" spans="1:1" x14ac:dyDescent="0.25">
      <c r="A145" t="s">
        <v>179</v>
      </c>
    </row>
    <row r="146" spans="1:1" x14ac:dyDescent="0.25">
      <c r="A146" t="s">
        <v>180</v>
      </c>
    </row>
    <row r="147" spans="1:1" x14ac:dyDescent="0.25">
      <c r="A147" t="s">
        <v>181</v>
      </c>
    </row>
    <row r="148" spans="1:1" x14ac:dyDescent="0.25">
      <c r="A148" t="s">
        <v>182</v>
      </c>
    </row>
    <row r="149" spans="1:1" x14ac:dyDescent="0.25">
      <c r="A149" t="s">
        <v>183</v>
      </c>
    </row>
    <row r="150" spans="1:1" x14ac:dyDescent="0.25">
      <c r="A150" t="s">
        <v>184</v>
      </c>
    </row>
    <row r="151" spans="1:1" x14ac:dyDescent="0.25">
      <c r="A151" t="s">
        <v>185</v>
      </c>
    </row>
    <row r="152" spans="1:1" x14ac:dyDescent="0.25">
      <c r="A152" t="s">
        <v>186</v>
      </c>
    </row>
    <row r="153" spans="1:1" x14ac:dyDescent="0.25">
      <c r="A153" t="s">
        <v>187</v>
      </c>
    </row>
    <row r="154" spans="1:1" x14ac:dyDescent="0.25">
      <c r="A154" t="s">
        <v>188</v>
      </c>
    </row>
    <row r="155" spans="1:1" x14ac:dyDescent="0.25">
      <c r="A155" t="s">
        <v>189</v>
      </c>
    </row>
    <row r="156" spans="1:1" x14ac:dyDescent="0.25">
      <c r="A156" t="s">
        <v>190</v>
      </c>
    </row>
    <row r="157" spans="1:1" x14ac:dyDescent="0.25">
      <c r="A157" t="s">
        <v>191</v>
      </c>
    </row>
    <row r="158" spans="1:1" x14ac:dyDescent="0.25">
      <c r="A158" t="s">
        <v>192</v>
      </c>
    </row>
    <row r="159" spans="1:1" x14ac:dyDescent="0.25">
      <c r="A159" t="s">
        <v>193</v>
      </c>
    </row>
    <row r="160" spans="1:1" x14ac:dyDescent="0.25">
      <c r="A160" t="s">
        <v>194</v>
      </c>
    </row>
    <row r="161" spans="1:1" x14ac:dyDescent="0.25">
      <c r="A161" t="s">
        <v>195</v>
      </c>
    </row>
    <row r="162" spans="1:1" x14ac:dyDescent="0.25">
      <c r="A162" t="s">
        <v>196</v>
      </c>
    </row>
    <row r="163" spans="1:1" x14ac:dyDescent="0.25">
      <c r="A163" t="s">
        <v>197</v>
      </c>
    </row>
    <row r="164" spans="1:1" x14ac:dyDescent="0.25">
      <c r="A164" t="s">
        <v>198</v>
      </c>
    </row>
    <row r="165" spans="1:1" x14ac:dyDescent="0.25">
      <c r="A165" t="s">
        <v>199</v>
      </c>
    </row>
    <row r="166" spans="1:1" x14ac:dyDescent="0.25">
      <c r="A166" t="s">
        <v>200</v>
      </c>
    </row>
    <row r="167" spans="1:1" x14ac:dyDescent="0.25">
      <c r="A167" t="s">
        <v>201</v>
      </c>
    </row>
    <row r="168" spans="1:1" x14ac:dyDescent="0.25">
      <c r="A168" t="s">
        <v>202</v>
      </c>
    </row>
    <row r="169" spans="1:1" x14ac:dyDescent="0.25">
      <c r="A169" t="s">
        <v>203</v>
      </c>
    </row>
    <row r="170" spans="1:1" x14ac:dyDescent="0.25">
      <c r="A170" t="s">
        <v>204</v>
      </c>
    </row>
    <row r="171" spans="1:1" x14ac:dyDescent="0.25">
      <c r="A171" t="s">
        <v>205</v>
      </c>
    </row>
    <row r="172" spans="1:1" x14ac:dyDescent="0.25">
      <c r="A172" t="s">
        <v>206</v>
      </c>
    </row>
    <row r="173" spans="1:1" x14ac:dyDescent="0.25">
      <c r="A173" t="s">
        <v>207</v>
      </c>
    </row>
    <row r="174" spans="1:1" x14ac:dyDescent="0.25">
      <c r="A174" t="s">
        <v>208</v>
      </c>
    </row>
    <row r="175" spans="1:1" x14ac:dyDescent="0.25">
      <c r="A175" t="s">
        <v>209</v>
      </c>
    </row>
    <row r="176" spans="1:1" x14ac:dyDescent="0.25">
      <c r="A176" t="s">
        <v>210</v>
      </c>
    </row>
    <row r="177" spans="1:1" x14ac:dyDescent="0.25">
      <c r="A177" t="s">
        <v>211</v>
      </c>
    </row>
    <row r="178" spans="1:1" x14ac:dyDescent="0.25">
      <c r="A178" t="s">
        <v>212</v>
      </c>
    </row>
    <row r="179" spans="1:1" x14ac:dyDescent="0.25">
      <c r="A179" t="s">
        <v>213</v>
      </c>
    </row>
    <row r="180" spans="1:1" x14ac:dyDescent="0.25">
      <c r="A180" t="s">
        <v>214</v>
      </c>
    </row>
    <row r="181" spans="1:1" x14ac:dyDescent="0.25">
      <c r="A181" t="s">
        <v>215</v>
      </c>
    </row>
    <row r="182" spans="1:1" x14ac:dyDescent="0.25">
      <c r="A182" t="s">
        <v>216</v>
      </c>
    </row>
    <row r="183" spans="1:1" x14ac:dyDescent="0.25">
      <c r="A183" t="s">
        <v>217</v>
      </c>
    </row>
    <row r="184" spans="1:1" x14ac:dyDescent="0.25">
      <c r="A184" t="s">
        <v>218</v>
      </c>
    </row>
    <row r="187" spans="1:1" x14ac:dyDescent="0.25">
      <c r="A187" s="3" t="s">
        <v>29</v>
      </c>
    </row>
    <row r="188" spans="1:1" x14ac:dyDescent="0.25">
      <c r="A188" s="3" t="s">
        <v>226</v>
      </c>
    </row>
    <row r="189" spans="1:1" x14ac:dyDescent="0.25">
      <c r="A189" s="3" t="s">
        <v>227</v>
      </c>
    </row>
    <row r="190" spans="1:1" x14ac:dyDescent="0.25">
      <c r="A190" s="3" t="s">
        <v>228</v>
      </c>
    </row>
    <row r="191" spans="1:1" x14ac:dyDescent="0.25">
      <c r="A191" s="3" t="s">
        <v>229</v>
      </c>
    </row>
    <row r="193" spans="1:1" x14ac:dyDescent="0.25">
      <c r="A193" s="3" t="s">
        <v>29</v>
      </c>
    </row>
    <row r="194" spans="1:1" x14ac:dyDescent="0.25">
      <c r="A194" s="3" t="s">
        <v>232</v>
      </c>
    </row>
    <row r="195" spans="1:1" x14ac:dyDescent="0.25">
      <c r="A195" s="3" t="s">
        <v>233</v>
      </c>
    </row>
    <row r="196" spans="1:1" x14ac:dyDescent="0.25">
      <c r="A196" s="3" t="s">
        <v>237</v>
      </c>
    </row>
    <row r="197" spans="1:1" x14ac:dyDescent="0.25">
      <c r="A197" s="3"/>
    </row>
    <row r="198" spans="1:1" x14ac:dyDescent="0.25">
      <c r="A198" s="3" t="s">
        <v>29</v>
      </c>
    </row>
    <row r="199" spans="1:1" x14ac:dyDescent="0.25">
      <c r="A199" s="3" t="s">
        <v>238</v>
      </c>
    </row>
    <row r="200" spans="1:1" x14ac:dyDescent="0.25">
      <c r="A200" s="3" t="s">
        <v>239</v>
      </c>
    </row>
    <row r="201" spans="1:1" x14ac:dyDescent="0.25">
      <c r="A201" s="3" t="s">
        <v>239</v>
      </c>
    </row>
    <row r="203" spans="1:1" x14ac:dyDescent="0.25">
      <c r="A203" s="3" t="s">
        <v>29</v>
      </c>
    </row>
    <row r="204" spans="1:1" x14ac:dyDescent="0.25">
      <c r="A204" s="3" t="s">
        <v>240</v>
      </c>
    </row>
    <row r="205" spans="1:1" x14ac:dyDescent="0.25">
      <c r="A205" s="3" t="s">
        <v>241</v>
      </c>
    </row>
    <row r="206" spans="1:1" x14ac:dyDescent="0.25">
      <c r="A206" s="3" t="s">
        <v>242</v>
      </c>
    </row>
    <row r="208" spans="1:1" x14ac:dyDescent="0.25">
      <c r="A208" s="3" t="s">
        <v>29</v>
      </c>
    </row>
    <row r="209" spans="1:1" x14ac:dyDescent="0.25">
      <c r="A209" s="3" t="s">
        <v>245</v>
      </c>
    </row>
    <row r="210" spans="1:1" x14ac:dyDescent="0.25">
      <c r="A210" s="3" t="s">
        <v>243</v>
      </c>
    </row>
    <row r="211" spans="1:1" x14ac:dyDescent="0.25">
      <c r="A211" s="3" t="s">
        <v>244</v>
      </c>
    </row>
    <row r="212" spans="1:1" x14ac:dyDescent="0.25">
      <c r="A212" s="3" t="s">
        <v>124</v>
      </c>
    </row>
    <row r="214" spans="1:1" x14ac:dyDescent="0.25">
      <c r="A214" s="3" t="s">
        <v>29</v>
      </c>
    </row>
    <row r="215" spans="1:1" x14ac:dyDescent="0.25">
      <c r="A215" s="3" t="s">
        <v>246</v>
      </c>
    </row>
    <row r="216" spans="1:1" x14ac:dyDescent="0.25">
      <c r="A216" s="3" t="s">
        <v>249</v>
      </c>
    </row>
    <row r="217" spans="1:1" x14ac:dyDescent="0.25">
      <c r="A217" s="3" t="s">
        <v>247</v>
      </c>
    </row>
    <row r="218" spans="1:1" x14ac:dyDescent="0.25">
      <c r="A218" s="3" t="s">
        <v>248</v>
      </c>
    </row>
    <row r="220" spans="1:1" x14ac:dyDescent="0.25">
      <c r="A220" s="12" t="s">
        <v>29</v>
      </c>
    </row>
    <row r="221" spans="1:1" x14ac:dyDescent="0.25">
      <c r="A221" s="12" t="s">
        <v>257</v>
      </c>
    </row>
    <row r="222" spans="1:1" x14ac:dyDescent="0.25">
      <c r="A222" s="12" t="s">
        <v>258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B748690335E3F45B6D32F35E393220A" ma:contentTypeVersion="0" ma:contentTypeDescription="Создание документа." ma:contentTypeScope="" ma:versionID="79695b7229812c3da6832a15d046d42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d3e22c7cd2c031952bb0ace1fddabb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60EBC6-93D4-43F1-AC5F-AAB8CE1BBC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70CFD2-09BD-47D0-B254-1416C8F1B815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D2C7A2-DC22-49F1-B8C0-BB71ECFFCF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Oprosnik</vt:lpstr>
      <vt:lpstr>VPN_info</vt:lpstr>
      <vt:lpstr>Validation</vt:lpstr>
      <vt:lpstr>Oprosnik!Область_печати</vt:lpstr>
    </vt:vector>
  </TitlesOfParts>
  <Company>Turkcell Iletisim Hizmetleri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Опросник услуга Бизнес-телефония</dc:title>
  <dc:creator>Administrator</dc:creator>
  <cp:lastModifiedBy>Alexandr Murdassov</cp:lastModifiedBy>
  <cp:lastPrinted>2016-10-21T04:35:37Z</cp:lastPrinted>
  <dcterms:created xsi:type="dcterms:W3CDTF">2006-08-17T05:46:21Z</dcterms:created>
  <dcterms:modified xsi:type="dcterms:W3CDTF">2025-12-02T06:46:29Z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0x010100BB748690335E3F45B6D32F35E393220A</vt:lpwstr>
  </property>
  <property fmtid="{D5CDD505-2E9C-101B-9397-08002B2CF9AE}" pid="3" name="MSIP_Label_9cdd97af-22dc-49fa-ac47-e24224ce56c4_Enabled">
    <vt:lpwstr>true</vt:lpwstr>
  </property>
  <property fmtid="{D5CDD505-2E9C-101B-9397-08002B2CF9AE}" pid="4" name="MSIP_Label_9cdd97af-22dc-49fa-ac47-e24224ce56c4_SetDate">
    <vt:lpwstr>2025-10-23T09:35:52Z</vt:lpwstr>
  </property>
  <property fmtid="{D5CDD505-2E9C-101B-9397-08002B2CF9AE}" pid="5" name="MSIP_Label_9cdd97af-22dc-49fa-ac47-e24224ce56c4_Method">
    <vt:lpwstr>Standard</vt:lpwstr>
  </property>
  <property fmtid="{D5CDD505-2E9C-101B-9397-08002B2CF9AE}" pid="6" name="MSIP_Label_9cdd97af-22dc-49fa-ac47-e24224ce56c4_Name">
    <vt:lpwstr>General</vt:lpwstr>
  </property>
  <property fmtid="{D5CDD505-2E9C-101B-9397-08002B2CF9AE}" pid="7" name="MSIP_Label_9cdd97af-22dc-49fa-ac47-e24224ce56c4_SiteId">
    <vt:lpwstr>41149801-8e93-4eae-a438-1ff037fd4bdc</vt:lpwstr>
  </property>
  <property fmtid="{D5CDD505-2E9C-101B-9397-08002B2CF9AE}" pid="8" name="MSIP_Label_9cdd97af-22dc-49fa-ac47-e24224ce56c4_ActionId">
    <vt:lpwstr>84e280fd-9d0c-4cd5-8396-e2ea5b776943</vt:lpwstr>
  </property>
  <property fmtid="{D5CDD505-2E9C-101B-9397-08002B2CF9AE}" pid="9" name="MSIP_Label_9cdd97af-22dc-49fa-ac47-e24224ce56c4_ContentBits">
    <vt:lpwstr>0</vt:lpwstr>
  </property>
  <property fmtid="{D5CDD505-2E9C-101B-9397-08002B2CF9AE}" pid="10" name="MSIP_Label_9cdd97af-22dc-49fa-ac47-e24224ce56c4_Tag">
    <vt:lpwstr>10, 3, 0, 1</vt:lpwstr>
  </property>
</Properties>
</file>