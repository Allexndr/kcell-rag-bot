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82F6C4EF-545E-42AC-94DE-4094FF4128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__Teams_Телефония" sheetId="1" r:id="rId1"/>
    <sheet name="Sheet2" sheetId="2" r:id="rId2"/>
  </sheets>
  <definedNames>
    <definedName name="_xlnm.Print_Area" localSheetId="0">Заявление__Teams_Телефония!$A$1:$J$59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24" i="1"/>
  <c r="H23" i="1"/>
  <c r="F36" i="1"/>
  <c r="F35" i="1"/>
  <c r="F34" i="1"/>
  <c r="F33" i="1"/>
  <c r="F31" i="1"/>
  <c r="F30" i="1"/>
  <c r="H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Dina Shigenova</author>
  </authors>
  <commentList>
    <comment ref="F39" authorId="0" shapeId="0" xr:uid="{00000000-0006-0000-0000-000001000000}">
      <text>
        <r>
          <rPr>
            <sz val="9"/>
            <color rgb="FF000000"/>
            <rFont val="Tahoma"/>
            <family val="2"/>
          </rPr>
          <t>В сумму не включены платежи за исходящие звонки сверх пакета и единовременный платеж за запись аудиоролика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<sst xmlns="http://schemas.openxmlformats.org/spreadsheetml/2006/main" count="108" uniqueCount="90">
  <si>
    <t>Данное письмо подлежит исполнению на фирменном бланке Вашей компании</t>
  </si>
  <si>
    <t xml:space="preserve">Исх.№ </t>
  </si>
  <si>
    <t>(укажите)</t>
  </si>
  <si>
    <t xml:space="preserve">Дата </t>
  </si>
  <si>
    <t>ЗАЯВЛЕНИЕ</t>
  </si>
  <si>
    <t>на подключение услуги «Виртуальная АТС»</t>
  </si>
  <si>
    <t>Настоящим,</t>
  </si>
  <si>
    <t xml:space="preserve">(далее - Компания) просит Вас подключить услугу «Виртуальная АТС» </t>
  </si>
  <si>
    <t>(Далее - Услуга) для совершения и приема звонков со следующими параметрами:</t>
  </si>
  <si>
    <t>Конфигурация Услуги</t>
  </si>
  <si>
    <t>(выберите из списка)</t>
  </si>
  <si>
    <t>тенге</t>
  </si>
  <si>
    <t>Ежемесячная плата за Услугу в месяц*</t>
  </si>
  <si>
    <t>Количество дополнительных Виртуальных номеров</t>
  </si>
  <si>
    <r>
      <t>Тарифный план</t>
    </r>
    <r>
      <rPr>
        <sz val="8"/>
        <color rgb="FF000000"/>
        <rFont val="Arial"/>
        <family val="2"/>
      </rPr>
      <t xml:space="preserve"> </t>
    </r>
  </si>
  <si>
    <t>Ежемесячная абонентская плата*</t>
  </si>
  <si>
    <t>Ежемесячный пакет минут для звонков на номера всех мобильных операторов по Казахстану**</t>
  </si>
  <si>
    <t>минут</t>
  </si>
  <si>
    <t>Исходящие звонки сверх пакета минут:</t>
  </si>
  <si>
    <t xml:space="preserve">Стоимость, тенге с НДС </t>
  </si>
  <si>
    <t>Шаг тарификации</t>
  </si>
  <si>
    <t>1 сек</t>
  </si>
  <si>
    <t>Внутри сети Kcell, Activ, за 1 минуту</t>
  </si>
  <si>
    <t>На других сотовых операторов РК, за 1 минуту</t>
  </si>
  <si>
    <t>На городские номера РК, за 1 минуту</t>
  </si>
  <si>
    <t>Доступ на международные направления:</t>
  </si>
  <si>
    <t>По заявлению "Звонки без границ"</t>
  </si>
  <si>
    <t>*В абонентскую плату включена стоимость ежемесячного пакета минут для звонков на номера всех сотовых операторов по Казахстану, кроме звонков внутри виртуальной АТС и внутри корпоративной группы. При подключении любого из тарифных планов абонентская плата списывается пропорционально количеству дней, оставшихся до конца календарного месяца, включая день подключения и затем каждое 1-ое число месяца в полном размере. При списании абонентской платы включенный бонусный пакет минут по тарифным планам будет предоставлен в полном объеме. Тарифы указаны в тенге с учетом НДС
** минуты в пакете действуют в течение календарного месяца и на следующий месяц не переносятся. После исчерпания пакета 
минут в учетном месяце исходящие звонки на указанные направления по Казахстану тарифицируются согласно условиям Тарифного плана.</t>
  </si>
  <si>
    <t>Итого, ежемесячно</t>
  </si>
  <si>
    <t>(фамилия, имя)</t>
  </si>
  <si>
    <t>(телефон)</t>
  </si>
  <si>
    <t>(e-mail)</t>
  </si>
  <si>
    <t>Реквизиты Компании:</t>
  </si>
  <si>
    <t>Юридическое название:</t>
  </si>
  <si>
    <t>(Пример: ТОО "ABC")</t>
  </si>
  <si>
    <t>Юридический адрес:</t>
  </si>
  <si>
    <t>(Пример: г. Алматы, Медеуский район, улица Алимжанова, дом 51)</t>
  </si>
  <si>
    <t>БИН:</t>
  </si>
  <si>
    <t>(12 цифр)</t>
  </si>
  <si>
    <t>IBAN:</t>
  </si>
  <si>
    <t>(KZ и 18 цифр)</t>
  </si>
  <si>
    <t>SWIFT:</t>
  </si>
  <si>
    <t>(8 букв)</t>
  </si>
  <si>
    <t>Кбе:</t>
  </si>
  <si>
    <t>(число)</t>
  </si>
  <si>
    <t>Название банка:</t>
  </si>
  <si>
    <t>(Пример: АО «Казкоммерцбанк», г.Алматы)</t>
  </si>
  <si>
    <t>Свидетельство о постановке на учет НДС:</t>
  </si>
  <si>
    <t>(указать,если есть св-во НДС)</t>
  </si>
  <si>
    <t>Адрес для отправки актов:</t>
  </si>
  <si>
    <t>(Город, район, улица, номер дома, офис)</t>
  </si>
  <si>
    <t>Ответственный за корреспонденцию:</t>
  </si>
  <si>
    <t xml:space="preserve">Ф.И.О  Руководителя </t>
  </si>
  <si>
    <t>(ФИО)</t>
  </si>
  <si>
    <t>МП(оригинал)</t>
  </si>
  <si>
    <t>(подпись)</t>
  </si>
  <si>
    <t>Компания</t>
  </si>
  <si>
    <t>(Название компании)</t>
  </si>
  <si>
    <t>Подключение</t>
  </si>
  <si>
    <t>АП</t>
  </si>
  <si>
    <t>virtual numbers</t>
  </si>
  <si>
    <t>extension</t>
  </si>
  <si>
    <t>MIN</t>
  </si>
  <si>
    <t>CUG</t>
  </si>
  <si>
    <t>ONNET</t>
  </si>
  <si>
    <t>OFFNET</t>
  </si>
  <si>
    <t>PSTN</t>
  </si>
  <si>
    <t>Виртуальный 5</t>
  </si>
  <si>
    <t>*В абонентскую плату включена стоимость ежемесячного пакета минут для звонков на номера всех сотовых операторов по Казахстану, кроме звонков внутри виртуальной АТС и внутри корпоративной группы. При подключении любого из тарифных планов абонентская плата списывается пропорционально количеству дней, оставшихся до конца календарного месяца, включая день подключения и затем каждое 1-ое число месяца в полном размере. При списании абонентской платы включенный бонусный пакет минут по тарифным планам будет предоставлен в полном объеме. Тарифы указаны в тенге с учетом НДС
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</t>
  </si>
  <si>
    <t>Виртуальный 10</t>
  </si>
  <si>
    <t>Виртуальный 30</t>
  </si>
  <si>
    <t>Виртуальный 50</t>
  </si>
  <si>
    <t>Виртуальный 150</t>
  </si>
  <si>
    <t>Виртуальный 200</t>
  </si>
  <si>
    <t>Виртуальный 600</t>
  </si>
  <si>
    <t>Виртуальный 700</t>
  </si>
  <si>
    <t>Виртуальный 1 MLN</t>
  </si>
  <si>
    <t>Открыть</t>
  </si>
  <si>
    <t>Закрыть</t>
  </si>
  <si>
    <t>Директору Департамента по развитию бизнес рынка
Г-же Касымовой Д. Т.</t>
  </si>
  <si>
    <t>Teams телефония</t>
  </si>
  <si>
    <t>Ежемесячная плата за одного Пользователя</t>
  </si>
  <si>
    <t>Внутри виртуальной АТС (на внутренние номера) и внутри корпоративной группы, за 1 минуту</t>
  </si>
  <si>
    <t xml:space="preserve">***для функционирования услуги необходимо наличие установленного ПО Microsoft Teams и лицензий Microsoft Phone System (телефонные системы), которые приобретаются клиентом самостоятельно </t>
  </si>
  <si>
    <t>*Абонентская плата по Услуге за месяц, в котором было подключение Услуги, начисляется Компанией пропорционально количеству дней, оставшихся до конца календарного месяца, включая день подключения, а затем 1-го числа каждого месяца в полном размере. Цены указаны в тенге с учетом НДС
**Общее количество сессий предоставляется из расчета один Пользователь 1 сессия (единовременных звонка). Один пользователь включает в себя один виртуальный номер.
При добавлении каждого нового пользователя автоматически добавляется один дополнительный номер.</t>
  </si>
  <si>
    <t xml:space="preserve">Email для отправки инструкции: </t>
  </si>
  <si>
    <t>(Пример: email@kcell.kz)</t>
  </si>
  <si>
    <t>Цена за ед.</t>
  </si>
  <si>
    <t>Количество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</si>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</sst>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* #,##0&quot; &quot;;&quot; &quot;* &quot;(&quot;#,##0&quot;)&quot;;&quot; &quot;* &quot;-&quot;#&quot; &quot;;&quot; &quot;@&quot; &quot;"/>
    <numFmt numFmtId="165" formatCode="dd&quot;.&quot;mm&quot;.&quot;yyyy"/>
    <numFmt numFmtId="166" formatCode="&quot; &quot;* #,##0.00&quot; &quot;;&quot; &quot;* &quot;(&quot;#,##0.00&quot;)&quot;;&quot; &quot;* &quot;-&quot;#&quot; &quot;;&quot; &quot;@&quot; &quot;"/>
  </numFmts>
  <fonts count="1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u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Tahoma"/>
      <family val="2"/>
    </font>
    <font>
      <sz val="8"/>
      <color rgb="FF595959"/>
      <name val="Arial"/>
      <family val="2"/>
    </font>
    <font>
      <i/>
      <sz val="9"/>
      <color rgb="FF595959"/>
      <name val="Arial"/>
      <family val="2"/>
    </font>
    <font>
      <sz val="7"/>
      <color rgb="FF000000"/>
      <name val="Arial"/>
      <family val="2"/>
    </font>
    <font>
      <i/>
      <sz val="12"/>
      <color rgb="FF000000"/>
      <name val="Times New Roman"/>
      <family val="1"/>
    </font>
    <font>
      <i/>
      <sz val="11"/>
      <color rgb="FF595959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0">
    <xf numFmtId="0" fontId="0" fillId="0" borderId="0" xfId="0"/>
    <xf numFmtId="0" fontId="3" fillId="2" borderId="0" xfId="0" applyFont="1" applyFill="1" applyAlignment="1" applyProtection="1">
      <alignment horizontal="center"/>
      <protection locked="0"/>
    </xf>
    <xf numFmtId="0" fontId="0" fillId="2" borderId="0" xfId="0" applyFill="1"/>
    <xf numFmtId="0" fontId="3" fillId="2" borderId="0" xfId="0" applyFont="1" applyFill="1" applyAlignment="1" applyProtection="1">
      <alignment horizontal="right" vertical="center"/>
      <protection locked="0"/>
    </xf>
    <xf numFmtId="0" fontId="3" fillId="2" borderId="0" xfId="0" applyFont="1" applyFill="1"/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1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wrapText="1"/>
    </xf>
    <xf numFmtId="0" fontId="9" fillId="2" borderId="0" xfId="0" applyFont="1" applyFill="1"/>
    <xf numFmtId="0" fontId="9" fillId="0" borderId="0" xfId="0" applyFont="1"/>
    <xf numFmtId="0" fontId="8" fillId="0" borderId="2" xfId="0" applyFont="1" applyBorder="1" applyAlignment="1">
      <alignment horizontal="center" vertical="center" wrapText="1"/>
    </xf>
    <xf numFmtId="0" fontId="3" fillId="0" borderId="0" xfId="0" applyFont="1"/>
    <xf numFmtId="0" fontId="9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" fontId="9" fillId="2" borderId="2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right"/>
    </xf>
    <xf numFmtId="1" fontId="5" fillId="2" borderId="0" xfId="0" applyNumberFormat="1" applyFont="1" applyFill="1" applyAlignment="1">
      <alignment horizontal="center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4" xfId="0" applyFont="1" applyFill="1" applyBorder="1" applyAlignment="1" applyProtection="1">
      <alignment horizontal="center" wrapText="1"/>
      <protection locked="0"/>
    </xf>
    <xf numFmtId="0" fontId="11" fillId="3" borderId="4" xfId="0" applyFont="1" applyFill="1" applyBorder="1" applyAlignment="1" applyProtection="1">
      <alignment horizontal="center" wrapText="1"/>
      <protection locked="0"/>
    </xf>
    <xf numFmtId="0" fontId="13" fillId="2" borderId="0" xfId="0" applyFont="1" applyFill="1" applyAlignment="1">
      <alignment horizontal="left" wrapText="1"/>
    </xf>
    <xf numFmtId="0" fontId="13" fillId="2" borderId="0" xfId="0" applyFont="1" applyFill="1" applyAlignment="1">
      <alignment horizontal="left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16" fillId="0" borderId="0" xfId="0" applyFont="1"/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1" fontId="9" fillId="0" borderId="5" xfId="0" applyNumberFormat="1" applyFont="1" applyBorder="1" applyAlignment="1">
      <alignment vertical="center"/>
    </xf>
    <xf numFmtId="0" fontId="9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 applyProtection="1">
      <alignment horizontal="center" wrapText="1"/>
      <protection locked="0"/>
    </xf>
    <xf numFmtId="0" fontId="3" fillId="2" borderId="0" xfId="0" applyFont="1" applyFill="1" applyAlignment="1">
      <alignment horizontal="left"/>
    </xf>
    <xf numFmtId="0" fontId="8" fillId="2" borderId="0" xfId="0" applyFont="1" applyFill="1" applyAlignment="1">
      <alignment horizontal="right" wrapText="1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9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0" fillId="2" borderId="0" xfId="0" applyFill="1"/>
    <xf numFmtId="165" fontId="4" fillId="3" borderId="0" xfId="0" applyNumberFormat="1" applyFont="1" applyFill="1" applyAlignment="1" applyProtection="1">
      <alignment horizontal="center" wrapText="1"/>
      <protection locked="0"/>
    </xf>
    <xf numFmtId="0" fontId="3" fillId="2" borderId="0" xfId="0" applyFont="1" applyFill="1" applyAlignment="1">
      <alignment horizontal="left" vertical="top" wrapText="1"/>
    </xf>
    <xf numFmtId="0" fontId="9" fillId="2" borderId="5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right" wrapText="1"/>
    </xf>
    <xf numFmtId="0" fontId="14" fillId="2" borderId="0" xfId="0" applyFont="1" applyFill="1" applyAlignment="1">
      <alignment horizontal="right"/>
    </xf>
    <xf numFmtId="0" fontId="15" fillId="3" borderId="1" xfId="0" applyFont="1" applyFill="1" applyBorder="1" applyAlignment="1" applyProtection="1">
      <alignment horizontal="center"/>
      <protection locked="0"/>
    </xf>
    <xf numFmtId="0" fontId="9" fillId="2" borderId="0" xfId="0" applyFont="1" applyFill="1" applyAlignment="1">
      <alignment horizontal="left"/>
    </xf>
    <xf numFmtId="0" fontId="7" fillId="3" borderId="1" xfId="0" applyFont="1" applyFill="1" applyBorder="1" applyAlignment="1" applyProtection="1">
      <alignment horizontal="center" wrapText="1"/>
      <protection locked="0"/>
    </xf>
    <xf numFmtId="0" fontId="16" fillId="2" borderId="0" xfId="0" applyFont="1" applyFill="1" applyAlignment="1">
      <alignment horizontal="center"/>
    </xf>
    <xf numFmtId="0" fontId="0" fillId="2" borderId="3" xfId="0" applyFill="1" applyBorder="1"/>
    <xf numFmtId="1" fontId="9" fillId="2" borderId="2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7" fillId="3" borderId="4" xfId="0" applyFont="1" applyFill="1" applyBorder="1" applyAlignment="1" applyProtection="1">
      <alignment horizontal="center" wrapText="1"/>
      <protection locked="0"/>
    </xf>
    <xf numFmtId="0" fontId="8" fillId="2" borderId="0" xfId="0" applyFont="1" applyFill="1" applyAlignment="1">
      <alignment horizontal="center"/>
    </xf>
    <xf numFmtId="49" fontId="12" fillId="3" borderId="1" xfId="0" applyNumberFormat="1" applyFont="1" applyFill="1" applyBorder="1" applyAlignment="1" applyProtection="1">
      <alignment horizontal="center"/>
      <protection locked="0"/>
    </xf>
    <xf numFmtId="0" fontId="7" fillId="3" borderId="4" xfId="0" applyFont="1" applyFill="1" applyBorder="1" applyAlignment="1" applyProtection="1">
      <alignment horizontal="center"/>
      <protection locked="0"/>
    </xf>
    <xf numFmtId="0" fontId="9" fillId="2" borderId="0" xfId="0" applyFont="1" applyFill="1" applyAlignment="1">
      <alignment horizontal="center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7" fillId="3" borderId="4" xfId="0" applyFont="1" applyFill="1" applyBorder="1" applyAlignment="1" applyProtection="1">
      <alignment horizontal="left" wrapText="1"/>
      <protection locked="0"/>
    </xf>
  </cellXfs>
  <cellStyles count="2">
    <cellStyle name="Comma" xfId="1" xr:uid="{00000000-0005-0000-0000-000000000000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"/>
  <sheetViews>
    <sheetView tabSelected="1" topLeftCell="A32" zoomScale="130" zoomScaleNormal="130" workbookViewId="0">
      <selection activeCell="E41" sqref="E41:H41"/>
    </sheetView>
  </sheetViews>
  <sheetFormatPr defaultRowHeight="14.4" x14ac:dyDescent="0.3"/>
  <cols>
    <col min="1" max="1" width="12.6640625" customWidth="1"/>
    <col min="2" max="2" width="6.109375" customWidth="1"/>
    <col min="3" max="3" width="11.109375" customWidth="1"/>
    <col min="4" max="4" width="12.6640625" customWidth="1"/>
    <col min="5" max="6" width="19.5546875" customWidth="1"/>
    <col min="7" max="7" width="22.44140625" customWidth="1"/>
    <col min="8" max="8" width="14.5546875" customWidth="1"/>
    <col min="9" max="9" width="4.77734375" bestFit="1" customWidth="1"/>
    <col min="10" max="10" width="9.21875" customWidth="1"/>
    <col min="11" max="11" width="8.77734375" customWidth="1"/>
  </cols>
  <sheetData>
    <row r="1" spans="1:10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x14ac:dyDescent="0.3">
      <c r="A2" s="62"/>
      <c r="B2" s="62"/>
      <c r="C2" s="62"/>
      <c r="D2" s="62"/>
      <c r="E2" s="62"/>
      <c r="F2" s="62"/>
      <c r="G2" s="62"/>
      <c r="H2" s="62"/>
      <c r="I2" s="62"/>
      <c r="J2" s="62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3" t="s">
        <v>1</v>
      </c>
      <c r="B8" s="50" t="s">
        <v>2</v>
      </c>
      <c r="C8" s="50"/>
      <c r="D8" s="4"/>
      <c r="E8" s="4"/>
      <c r="F8" s="4"/>
      <c r="G8" s="4"/>
      <c r="H8" s="4"/>
      <c r="I8" s="4"/>
      <c r="J8" s="4"/>
    </row>
    <row r="9" spans="1:10" x14ac:dyDescent="0.3">
      <c r="A9" s="3" t="s">
        <v>3</v>
      </c>
      <c r="B9" s="63" t="s">
        <v>2</v>
      </c>
      <c r="C9" s="63"/>
      <c r="D9" s="4"/>
      <c r="E9" s="4"/>
      <c r="F9" s="4"/>
      <c r="G9" s="4"/>
      <c r="H9" s="4"/>
      <c r="I9" s="4"/>
      <c r="J9" s="4"/>
    </row>
    <row r="10" spans="1:10" ht="15" customHeight="1" x14ac:dyDescent="0.3">
      <c r="A10" s="4"/>
      <c r="B10" s="4"/>
      <c r="C10" s="4"/>
      <c r="D10" s="4"/>
      <c r="E10" s="4"/>
      <c r="F10" s="4"/>
      <c r="G10" s="64" t="s">
        <v>79</v>
      </c>
      <c r="H10" s="64"/>
      <c r="I10" s="64"/>
      <c r="J10" s="4"/>
    </row>
    <row r="11" spans="1:10" ht="15" customHeight="1" x14ac:dyDescent="0.3">
      <c r="A11" s="5"/>
      <c r="B11" s="4"/>
      <c r="C11" s="4"/>
      <c r="D11" s="4"/>
      <c r="E11" s="4"/>
      <c r="F11" s="4"/>
      <c r="G11" s="64"/>
      <c r="H11" s="64"/>
      <c r="I11" s="64"/>
      <c r="J11" s="4"/>
    </row>
    <row r="12" spans="1:10" x14ac:dyDescent="0.3">
      <c r="A12" s="5"/>
      <c r="B12" s="4"/>
      <c r="C12" s="4"/>
      <c r="D12" s="4"/>
      <c r="E12" s="4"/>
      <c r="F12" s="4"/>
      <c r="G12" s="64"/>
      <c r="H12" s="64"/>
      <c r="I12" s="64"/>
      <c r="J12" s="4"/>
    </row>
    <row r="13" spans="1:10" x14ac:dyDescent="0.3">
      <c r="A13" s="4"/>
      <c r="B13" s="4"/>
      <c r="C13" s="4"/>
      <c r="D13" s="4"/>
      <c r="E13" s="4"/>
      <c r="F13" s="4"/>
      <c r="G13" s="64"/>
      <c r="H13" s="64"/>
      <c r="I13" s="64"/>
      <c r="J13" s="4"/>
    </row>
    <row r="14" spans="1:1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48" t="s">
        <v>4</v>
      </c>
      <c r="B15" s="48"/>
      <c r="C15" s="48"/>
      <c r="D15" s="48"/>
      <c r="E15" s="48"/>
      <c r="F15" s="48"/>
      <c r="G15" s="48"/>
      <c r="H15" s="48"/>
      <c r="I15" s="48"/>
      <c r="J15" s="48"/>
    </row>
    <row r="16" spans="1:10" x14ac:dyDescent="0.3">
      <c r="A16" s="49" t="s">
        <v>5</v>
      </c>
      <c r="B16" s="49"/>
      <c r="C16" s="49"/>
      <c r="D16" s="49"/>
      <c r="E16" s="49"/>
      <c r="F16" s="49"/>
      <c r="G16" s="49"/>
      <c r="H16" s="49"/>
      <c r="I16" s="49"/>
      <c r="J16" s="49"/>
    </row>
    <row r="17" spans="1:1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1" ht="15" customHeight="1" x14ac:dyDescent="0.3">
      <c r="A18" s="6" t="s">
        <v>6</v>
      </c>
      <c r="B18" s="50"/>
      <c r="C18" s="50"/>
      <c r="D18" s="50"/>
      <c r="E18" s="50"/>
      <c r="F18" s="51" t="s">
        <v>7</v>
      </c>
      <c r="G18" s="51"/>
      <c r="H18" s="51"/>
      <c r="I18" s="51"/>
      <c r="J18" s="51"/>
    </row>
    <row r="19" spans="1:11" ht="15" customHeight="1" x14ac:dyDescent="0.3">
      <c r="A19" s="4" t="s">
        <v>8</v>
      </c>
      <c r="B19" s="4"/>
      <c r="C19" s="4"/>
      <c r="D19" s="4"/>
      <c r="E19" s="4"/>
      <c r="F19" s="4"/>
      <c r="G19" s="4"/>
      <c r="H19" s="4"/>
      <c r="I19" s="4"/>
      <c r="J19" s="4"/>
    </row>
    <row r="20" spans="1:11" ht="15.75" customHeight="1" x14ac:dyDescent="0.3">
      <c r="A20" s="8"/>
      <c r="B20" s="9"/>
      <c r="C20" s="9"/>
      <c r="D20" s="4"/>
      <c r="E20" s="9"/>
      <c r="F20" s="9"/>
      <c r="G20" s="4"/>
      <c r="H20" s="10"/>
      <c r="I20" s="11"/>
      <c r="J20" s="11"/>
    </row>
    <row r="21" spans="1:11" ht="17.25" customHeight="1" x14ac:dyDescent="0.3">
      <c r="A21" s="12"/>
      <c r="B21" s="52" t="s">
        <v>9</v>
      </c>
      <c r="C21" s="52"/>
      <c r="D21" s="52"/>
      <c r="E21" s="52"/>
      <c r="F21" s="53" t="s">
        <v>80</v>
      </c>
      <c r="G21" s="53"/>
      <c r="H21" s="44"/>
      <c r="I21" s="11"/>
      <c r="J21" s="11"/>
    </row>
    <row r="22" spans="1:11" ht="17.25" customHeight="1" x14ac:dyDescent="0.3">
      <c r="A22" s="12"/>
      <c r="B22" s="55"/>
      <c r="C22" s="56"/>
      <c r="D22" s="56"/>
      <c r="E22" s="57"/>
      <c r="F22" s="45" t="s">
        <v>87</v>
      </c>
      <c r="G22" s="45" t="s">
        <v>88</v>
      </c>
      <c r="H22" s="45" t="s">
        <v>89</v>
      </c>
      <c r="I22" s="11"/>
      <c r="J22" s="11"/>
    </row>
    <row r="23" spans="1:11" ht="15" customHeight="1" x14ac:dyDescent="0.3">
      <c r="A23" s="12"/>
      <c r="B23" s="54" t="s">
        <v>81</v>
      </c>
      <c r="C23" s="54"/>
      <c r="D23" s="54"/>
      <c r="E23" s="54"/>
      <c r="F23" s="46">
        <v>3500</v>
      </c>
      <c r="G23" s="46">
        <v>0</v>
      </c>
      <c r="H23" s="46">
        <f>F23*G23</f>
        <v>0</v>
      </c>
      <c r="I23" s="11"/>
      <c r="J23" s="11"/>
    </row>
    <row r="24" spans="1:11" ht="15" customHeight="1" x14ac:dyDescent="0.3">
      <c r="A24" s="12"/>
      <c r="B24" s="65" t="s">
        <v>13</v>
      </c>
      <c r="C24" s="65"/>
      <c r="D24" s="65"/>
      <c r="E24" s="65"/>
      <c r="F24" s="46">
        <v>1000</v>
      </c>
      <c r="G24" s="46">
        <v>0</v>
      </c>
      <c r="H24" s="46">
        <f>F24*G24</f>
        <v>0</v>
      </c>
      <c r="I24" s="11"/>
      <c r="J24" s="11"/>
    </row>
    <row r="25" spans="1:11" ht="14.4" customHeight="1" x14ac:dyDescent="0.3">
      <c r="B25" s="58" t="s">
        <v>12</v>
      </c>
      <c r="C25" s="59"/>
      <c r="D25" s="59"/>
      <c r="E25" s="59"/>
      <c r="F25" s="59"/>
      <c r="G25" s="60"/>
      <c r="H25" s="46">
        <f>SUM(H23:H24)</f>
        <v>0</v>
      </c>
    </row>
    <row r="26" spans="1:11" ht="14.55" customHeight="1" x14ac:dyDescent="0.3">
      <c r="B26" s="41"/>
      <c r="C26" s="41"/>
      <c r="D26" s="41"/>
      <c r="E26" s="41"/>
      <c r="F26" s="42"/>
      <c r="G26" s="42"/>
      <c r="H26" s="43"/>
    </row>
    <row r="27" spans="1:11" ht="73.05" customHeight="1" x14ac:dyDescent="0.3">
      <c r="A27" s="12"/>
      <c r="B27" s="47" t="s">
        <v>84</v>
      </c>
      <c r="C27" s="47"/>
      <c r="D27" s="47"/>
      <c r="E27" s="47"/>
      <c r="F27" s="47"/>
      <c r="G27" s="47"/>
      <c r="H27" s="47"/>
      <c r="I27" s="11"/>
      <c r="J27" s="11"/>
    </row>
    <row r="28" spans="1:11" ht="24.45" customHeight="1" x14ac:dyDescent="0.3">
      <c r="B28" s="47" t="s">
        <v>83</v>
      </c>
      <c r="C28" s="47"/>
      <c r="D28" s="47"/>
      <c r="E28" s="47"/>
      <c r="F28" s="47"/>
      <c r="G28" s="47"/>
      <c r="H28" s="47"/>
      <c r="I28" s="16"/>
      <c r="J28" s="11"/>
      <c r="K28" s="11"/>
    </row>
    <row r="29" spans="1:11" ht="15" customHeight="1" x14ac:dyDescent="0.3">
      <c r="A29" s="17"/>
      <c r="B29" s="74" t="s">
        <v>14</v>
      </c>
      <c r="C29" s="74"/>
      <c r="D29" s="74"/>
      <c r="E29" s="74"/>
      <c r="F29" s="39" t="s">
        <v>10</v>
      </c>
      <c r="G29" s="39"/>
      <c r="H29" s="13"/>
      <c r="I29" s="4"/>
      <c r="J29" s="4"/>
    </row>
    <row r="30" spans="1:11" ht="21" customHeight="1" x14ac:dyDescent="0.3">
      <c r="A30" s="18"/>
      <c r="B30" s="71" t="s">
        <v>15</v>
      </c>
      <c r="C30" s="71"/>
      <c r="D30" s="71"/>
      <c r="E30" s="71"/>
      <c r="F30" s="81">
        <f>VLOOKUP(F29,Sheet2!$B$7:$H$16,2,0)</f>
        <v>0</v>
      </c>
      <c r="G30" s="81"/>
      <c r="H30" s="14" t="s">
        <v>11</v>
      </c>
      <c r="I30" s="4"/>
      <c r="J30" s="4"/>
    </row>
    <row r="31" spans="1:11" ht="28.5" customHeight="1" x14ac:dyDescent="0.3">
      <c r="A31" s="18"/>
      <c r="B31" s="67" t="s">
        <v>16</v>
      </c>
      <c r="C31" s="67"/>
      <c r="D31" s="67"/>
      <c r="E31" s="67"/>
      <c r="F31" s="72">
        <f>VLOOKUP(F29,Sheet2!$B$7:$H$16,3,0)</f>
        <v>0</v>
      </c>
      <c r="G31" s="72"/>
      <c r="H31" s="14" t="s">
        <v>17</v>
      </c>
      <c r="I31" s="4"/>
      <c r="J31" s="4"/>
    </row>
    <row r="32" spans="1:11" ht="20.25" customHeight="1" x14ac:dyDescent="0.3">
      <c r="A32" s="19"/>
      <c r="B32" s="69" t="s">
        <v>18</v>
      </c>
      <c r="C32" s="69"/>
      <c r="D32" s="69"/>
      <c r="E32" s="69"/>
      <c r="F32" s="70" t="s">
        <v>19</v>
      </c>
      <c r="G32" s="70"/>
      <c r="H32" s="20" t="s">
        <v>20</v>
      </c>
      <c r="I32" s="21"/>
      <c r="J32" s="4"/>
    </row>
    <row r="33" spans="1:10" ht="33" customHeight="1" x14ac:dyDescent="0.3">
      <c r="A33" s="18"/>
      <c r="B33" s="67" t="s">
        <v>82</v>
      </c>
      <c r="C33" s="67"/>
      <c r="D33" s="67"/>
      <c r="E33" s="67"/>
      <c r="F33" s="72">
        <f>VLOOKUP(F29,Sheet2!$B$7:$H$16,4,0)</f>
        <v>0</v>
      </c>
      <c r="G33" s="72"/>
      <c r="H33" s="14" t="s">
        <v>21</v>
      </c>
      <c r="I33" s="4"/>
      <c r="J33" s="4"/>
    </row>
    <row r="34" spans="1:10" ht="15" customHeight="1" x14ac:dyDescent="0.3">
      <c r="A34" s="18"/>
      <c r="B34" s="71" t="s">
        <v>22</v>
      </c>
      <c r="C34" s="71"/>
      <c r="D34" s="71"/>
      <c r="E34" s="71"/>
      <c r="F34" s="72">
        <f>VLOOKUP(F29,Sheet2!$B$7:$H$16,5,0)</f>
        <v>0</v>
      </c>
      <c r="G34" s="72"/>
      <c r="H34" s="14" t="s">
        <v>21</v>
      </c>
      <c r="I34" s="4"/>
      <c r="J34" s="4"/>
    </row>
    <row r="35" spans="1:10" ht="15" customHeight="1" x14ac:dyDescent="0.3">
      <c r="A35" s="18"/>
      <c r="B35" s="71" t="s">
        <v>23</v>
      </c>
      <c r="C35" s="71"/>
      <c r="D35" s="71"/>
      <c r="E35" s="71"/>
      <c r="F35" s="72">
        <f>VLOOKUP(F29,Sheet2!$B$7:$H$75,6,0)</f>
        <v>0</v>
      </c>
      <c r="G35" s="72"/>
      <c r="H35" s="14" t="s">
        <v>21</v>
      </c>
      <c r="I35" s="4"/>
      <c r="J35" s="4"/>
    </row>
    <row r="36" spans="1:10" ht="15" customHeight="1" x14ac:dyDescent="0.3">
      <c r="A36" s="18"/>
      <c r="B36" s="71" t="s">
        <v>24</v>
      </c>
      <c r="C36" s="71"/>
      <c r="D36" s="71"/>
      <c r="E36" s="71"/>
      <c r="F36" s="72">
        <f>VLOOKUP(F29,Sheet2!$B$7:$H$16,7,0)</f>
        <v>0</v>
      </c>
      <c r="G36" s="72"/>
      <c r="H36" s="14" t="s">
        <v>21</v>
      </c>
      <c r="I36" s="4"/>
      <c r="J36" s="4"/>
    </row>
    <row r="37" spans="1:10" x14ac:dyDescent="0.3">
      <c r="A37" s="18"/>
      <c r="B37" s="71" t="s">
        <v>25</v>
      </c>
      <c r="C37" s="71"/>
      <c r="D37" s="71"/>
      <c r="E37" s="71"/>
      <c r="F37" s="73" t="s">
        <v>26</v>
      </c>
      <c r="G37" s="73"/>
      <c r="H37" s="22"/>
      <c r="I37" s="23"/>
      <c r="J37" s="4"/>
    </row>
    <row r="38" spans="1:10" ht="81" customHeight="1" x14ac:dyDescent="0.3">
      <c r="A38" s="16"/>
      <c r="B38" s="68" t="s">
        <v>27</v>
      </c>
      <c r="C38" s="68"/>
      <c r="D38" s="68"/>
      <c r="E38" s="68"/>
      <c r="F38" s="68"/>
      <c r="G38" s="68"/>
      <c r="H38" s="68"/>
      <c r="I38" s="4"/>
      <c r="J38" s="4"/>
    </row>
    <row r="39" spans="1:10" x14ac:dyDescent="0.3">
      <c r="A39" s="16"/>
      <c r="B39" s="15"/>
      <c r="C39" s="16"/>
      <c r="D39" s="16"/>
      <c r="E39" s="16"/>
      <c r="F39" s="66" t="s">
        <v>28</v>
      </c>
      <c r="G39" s="66"/>
      <c r="H39" s="24">
        <f>H25+F30</f>
        <v>0</v>
      </c>
      <c r="I39" s="4"/>
      <c r="J39" s="4"/>
    </row>
    <row r="40" spans="1:10" ht="7.5" customHeight="1" x14ac:dyDescent="0.3">
      <c r="A40" s="7"/>
      <c r="B40" s="25"/>
      <c r="C40" s="25"/>
      <c r="D40" s="25"/>
      <c r="E40" s="25"/>
      <c r="F40" s="26"/>
      <c r="G40" s="7"/>
      <c r="H40" s="4"/>
      <c r="I40" s="4"/>
      <c r="J40" s="4"/>
    </row>
    <row r="41" spans="1:10" ht="18" customHeight="1" x14ac:dyDescent="0.3">
      <c r="A41" s="7"/>
      <c r="B41" s="87" t="s">
        <v>85</v>
      </c>
      <c r="C41" s="87"/>
      <c r="D41" s="87"/>
      <c r="E41" s="88" t="s">
        <v>86</v>
      </c>
      <c r="F41" s="88"/>
      <c r="G41" s="88"/>
      <c r="H41" s="88"/>
    </row>
    <row r="42" spans="1:10" x14ac:dyDescent="0.3">
      <c r="A42" s="7"/>
      <c r="B42" s="84" t="s">
        <v>32</v>
      </c>
      <c r="C42" s="84"/>
      <c r="D42" s="84"/>
      <c r="E42" s="84"/>
      <c r="F42" s="84"/>
      <c r="G42" s="84"/>
      <c r="H42" s="84"/>
      <c r="I42" s="4"/>
      <c r="J42" s="4"/>
    </row>
    <row r="43" spans="1:10" x14ac:dyDescent="0.3">
      <c r="A43" s="7"/>
      <c r="B43" s="77" t="s">
        <v>33</v>
      </c>
      <c r="C43" s="77"/>
      <c r="D43" s="77"/>
      <c r="E43" s="88" t="s">
        <v>34</v>
      </c>
      <c r="F43" s="88"/>
      <c r="G43" s="88"/>
      <c r="H43" s="88"/>
      <c r="I43" s="4"/>
      <c r="J43" s="4"/>
    </row>
    <row r="44" spans="1:10" x14ac:dyDescent="0.3">
      <c r="A44" s="7"/>
      <c r="B44" s="16" t="s">
        <v>35</v>
      </c>
      <c r="C44" s="16"/>
      <c r="D44" s="16"/>
      <c r="E44" s="89" t="s">
        <v>36</v>
      </c>
      <c r="F44" s="89"/>
      <c r="G44" s="89"/>
      <c r="H44" s="89"/>
      <c r="I44" s="4"/>
      <c r="J44" s="4"/>
    </row>
    <row r="45" spans="1:10" x14ac:dyDescent="0.3">
      <c r="A45" s="7"/>
      <c r="B45" s="18" t="s">
        <v>37</v>
      </c>
      <c r="C45" s="85" t="s">
        <v>38</v>
      </c>
      <c r="D45" s="85"/>
      <c r="E45" s="85"/>
      <c r="F45" s="18"/>
      <c r="G45" s="16"/>
      <c r="H45" s="18"/>
      <c r="I45" s="4"/>
      <c r="J45" s="4"/>
    </row>
    <row r="46" spans="1:10" x14ac:dyDescent="0.3">
      <c r="A46" s="7"/>
      <c r="B46" s="18" t="s">
        <v>39</v>
      </c>
      <c r="C46" s="86" t="s">
        <v>40</v>
      </c>
      <c r="D46" s="86"/>
      <c r="E46" s="86"/>
      <c r="F46" s="18"/>
      <c r="G46" s="16"/>
      <c r="H46" s="18"/>
      <c r="I46" s="4"/>
      <c r="J46" s="4"/>
    </row>
    <row r="47" spans="1:10" x14ac:dyDescent="0.3">
      <c r="A47" s="7"/>
      <c r="B47" s="18" t="s">
        <v>41</v>
      </c>
      <c r="C47" s="86" t="s">
        <v>42</v>
      </c>
      <c r="D47" s="86"/>
      <c r="E47" s="18"/>
      <c r="F47" s="18"/>
      <c r="G47" s="16"/>
      <c r="H47" s="18"/>
      <c r="I47" s="4"/>
      <c r="J47" s="4"/>
    </row>
    <row r="48" spans="1:10" x14ac:dyDescent="0.3">
      <c r="A48" s="7"/>
      <c r="B48" s="18" t="s">
        <v>43</v>
      </c>
      <c r="C48" s="27" t="s">
        <v>44</v>
      </c>
      <c r="D48" s="19"/>
      <c r="E48" s="18"/>
      <c r="F48" s="18"/>
      <c r="G48" s="16"/>
      <c r="H48" s="18"/>
      <c r="I48" s="4"/>
      <c r="J48" s="4"/>
    </row>
    <row r="49" spans="1:10" x14ac:dyDescent="0.3">
      <c r="A49" s="7"/>
      <c r="B49" s="77" t="s">
        <v>45</v>
      </c>
      <c r="C49" s="77"/>
      <c r="D49" s="78" t="s">
        <v>46</v>
      </c>
      <c r="E49" s="78"/>
      <c r="F49" s="78"/>
      <c r="G49" s="78"/>
      <c r="H49" s="18"/>
      <c r="I49" s="4"/>
      <c r="J49" s="4"/>
    </row>
    <row r="50" spans="1:10" x14ac:dyDescent="0.3">
      <c r="A50" s="7"/>
      <c r="B50" s="77" t="s">
        <v>47</v>
      </c>
      <c r="C50" s="77"/>
      <c r="D50" s="77"/>
      <c r="E50" s="77"/>
      <c r="F50" s="78" t="s">
        <v>48</v>
      </c>
      <c r="G50" s="78"/>
      <c r="H50" s="78"/>
      <c r="I50" s="4"/>
      <c r="J50" s="4"/>
    </row>
    <row r="51" spans="1:10" ht="15" customHeight="1" x14ac:dyDescent="0.3">
      <c r="A51" s="7"/>
      <c r="B51" s="77" t="s">
        <v>49</v>
      </c>
      <c r="C51" s="77"/>
      <c r="D51" s="77"/>
      <c r="E51" s="77"/>
      <c r="F51" s="83" t="s">
        <v>50</v>
      </c>
      <c r="G51" s="83"/>
      <c r="H51" s="83"/>
      <c r="I51" s="21"/>
      <c r="J51" s="4"/>
    </row>
    <row r="52" spans="1:10" ht="10.5" customHeight="1" x14ac:dyDescent="0.3">
      <c r="A52" s="4"/>
      <c r="B52" s="77" t="s">
        <v>51</v>
      </c>
      <c r="C52" s="77"/>
      <c r="D52" s="77"/>
      <c r="E52" s="78" t="s">
        <v>29</v>
      </c>
      <c r="F52" s="78"/>
      <c r="G52" s="28" t="s">
        <v>30</v>
      </c>
      <c r="H52" s="29" t="s">
        <v>31</v>
      </c>
      <c r="I52" s="4"/>
      <c r="J52" s="4"/>
    </row>
    <row r="53" spans="1:10" x14ac:dyDescent="0.3">
      <c r="A53" s="7"/>
      <c r="B53" s="7"/>
      <c r="C53" s="7"/>
      <c r="D53" s="7"/>
      <c r="E53" s="7"/>
      <c r="F53" s="7"/>
      <c r="G53" s="7"/>
      <c r="H53" s="2"/>
      <c r="I53" s="2"/>
      <c r="J53" s="2"/>
    </row>
    <row r="54" spans="1:10" ht="15" customHeight="1" x14ac:dyDescent="0.3">
      <c r="A54" s="62"/>
      <c r="B54" s="62"/>
      <c r="C54" s="62"/>
      <c r="D54" s="62"/>
      <c r="E54" s="62"/>
      <c r="F54" s="62"/>
      <c r="G54" s="62"/>
      <c r="H54" s="62"/>
      <c r="I54" s="62"/>
      <c r="J54" s="62"/>
    </row>
    <row r="55" spans="1:10" x14ac:dyDescent="0.3">
      <c r="A55" s="30"/>
      <c r="B55" s="31"/>
      <c r="C55" s="31"/>
      <c r="D55" s="31"/>
      <c r="E55" s="31"/>
      <c r="F55" s="31"/>
      <c r="G55" s="31"/>
      <c r="H55" s="31"/>
      <c r="I55" s="31"/>
      <c r="J55" s="31"/>
    </row>
    <row r="56" spans="1:10" ht="15.6" x14ac:dyDescent="0.3">
      <c r="A56" s="75" t="s">
        <v>52</v>
      </c>
      <c r="B56" s="75"/>
      <c r="C56" s="75"/>
      <c r="D56" s="76" t="s">
        <v>53</v>
      </c>
      <c r="E56" s="76"/>
      <c r="F56" s="79" t="s">
        <v>54</v>
      </c>
      <c r="G56" s="79"/>
      <c r="H56" s="76" t="s">
        <v>55</v>
      </c>
      <c r="I56" s="76"/>
      <c r="J56" s="76"/>
    </row>
    <row r="57" spans="1:10" x14ac:dyDescent="0.3">
      <c r="A57" s="2"/>
      <c r="B57" s="2"/>
      <c r="C57" s="2"/>
      <c r="D57" s="80"/>
      <c r="E57" s="80"/>
      <c r="F57" s="2"/>
      <c r="G57" s="2"/>
      <c r="H57" s="82" t="s">
        <v>55</v>
      </c>
      <c r="I57" s="82"/>
      <c r="J57" s="82"/>
    </row>
    <row r="58" spans="1:10" ht="15.6" x14ac:dyDescent="0.3">
      <c r="A58" s="75" t="s">
        <v>56</v>
      </c>
      <c r="B58" s="75"/>
      <c r="C58" s="75"/>
      <c r="D58" s="76" t="s">
        <v>57</v>
      </c>
      <c r="E58" s="76"/>
      <c r="F58" s="2"/>
      <c r="G58" s="2"/>
      <c r="H58" s="2"/>
      <c r="I58" s="2"/>
      <c r="J58" s="2"/>
    </row>
    <row r="59" spans="1:10" ht="15.6" x14ac:dyDescent="0.3">
      <c r="A59" s="32"/>
      <c r="B59" s="32"/>
      <c r="C59" s="32"/>
      <c r="D59" s="33"/>
      <c r="E59" s="33"/>
      <c r="F59" s="2"/>
      <c r="G59" s="2"/>
      <c r="H59" s="2"/>
      <c r="I59" s="2"/>
      <c r="J59" s="2"/>
    </row>
  </sheetData>
  <mergeCells count="62">
    <mergeCell ref="E41:H41"/>
    <mergeCell ref="B43:D43"/>
    <mergeCell ref="E43:H43"/>
    <mergeCell ref="E44:H44"/>
    <mergeCell ref="F30:G30"/>
    <mergeCell ref="H57:J57"/>
    <mergeCell ref="B51:E51"/>
    <mergeCell ref="F51:H51"/>
    <mergeCell ref="B42:H42"/>
    <mergeCell ref="F33:G33"/>
    <mergeCell ref="B34:E34"/>
    <mergeCell ref="F34:G34"/>
    <mergeCell ref="B35:E35"/>
    <mergeCell ref="F35:G35"/>
    <mergeCell ref="C45:E45"/>
    <mergeCell ref="C46:E46"/>
    <mergeCell ref="C47:D47"/>
    <mergeCell ref="B49:C49"/>
    <mergeCell ref="D49:G49"/>
    <mergeCell ref="B41:D41"/>
    <mergeCell ref="B31:E31"/>
    <mergeCell ref="F31:G31"/>
    <mergeCell ref="B29:E29"/>
    <mergeCell ref="A58:C58"/>
    <mergeCell ref="D58:E58"/>
    <mergeCell ref="B52:D52"/>
    <mergeCell ref="E52:F52"/>
    <mergeCell ref="A54:J54"/>
    <mergeCell ref="A56:C56"/>
    <mergeCell ref="D56:E56"/>
    <mergeCell ref="F56:G56"/>
    <mergeCell ref="H56:J56"/>
    <mergeCell ref="D57:E57"/>
    <mergeCell ref="B50:E50"/>
    <mergeCell ref="F50:H50"/>
    <mergeCell ref="B30:E30"/>
    <mergeCell ref="F39:G39"/>
    <mergeCell ref="B33:E33"/>
    <mergeCell ref="B38:H38"/>
    <mergeCell ref="B32:E32"/>
    <mergeCell ref="F32:G32"/>
    <mergeCell ref="B36:E36"/>
    <mergeCell ref="F36:G36"/>
    <mergeCell ref="B37:E37"/>
    <mergeCell ref="F37:G37"/>
    <mergeCell ref="A1:J1"/>
    <mergeCell ref="A2:J2"/>
    <mergeCell ref="B8:C8"/>
    <mergeCell ref="B9:C9"/>
    <mergeCell ref="G10:I13"/>
    <mergeCell ref="B28:H28"/>
    <mergeCell ref="A15:J15"/>
    <mergeCell ref="A16:J16"/>
    <mergeCell ref="B18:E18"/>
    <mergeCell ref="F18:J18"/>
    <mergeCell ref="B21:E21"/>
    <mergeCell ref="F21:G21"/>
    <mergeCell ref="B23:E23"/>
    <mergeCell ref="B27:H27"/>
    <mergeCell ref="B22:E22"/>
    <mergeCell ref="B25:G25"/>
    <mergeCell ref="B24:E24"/>
  </mergeCells>
  <dataValidations count="1">
    <dataValidation allowBlank="1" showInputMessage="1" sqref="F22" xr:uid="{FF36E8D9-BFD6-4170-9A6F-EE6ABB64E23B}"/>
  </dataValidations>
  <pageMargins left="1.1023622047244099" right="0.74803149606299213" top="0.62992125984252023" bottom="0.62992125984252023" header="0.31496062992126012" footer="0.31496062992126012"/>
  <pageSetup paperSize="0" orientation="portrait" horizontalDpi="0" verticalDpi="0" copies="0"/>
  <colBreaks count="1" manualBreakCount="1">
    <brk id="7" man="1"/>
  </colBreak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00000000-0002-0000-0000-000001000000}">
          <x14:formula1>
            <xm:f>Sheet2!$B$7:$B$16</xm:f>
          </x14:formula1>
          <xm:sqref>F29</xm:sqref>
        </x14:dataValidation>
        <x14:dataValidation type="list" allowBlank="1" showInputMessage="1" xr:uid="{00000000-0002-0000-0000-000000000000}">
          <x14:formula1>
            <xm:f>Sheet2!$B$2:$B$2</xm:f>
          </x14:formula1>
          <xm:sqref>F21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="85" zoomScaleNormal="85" workbookViewId="0">
      <selection activeCell="C2" sqref="C2"/>
    </sheetView>
  </sheetViews>
  <sheetFormatPr defaultRowHeight="14.4" x14ac:dyDescent="0.3"/>
  <cols>
    <col min="1" max="1" width="42" bestFit="1" customWidth="1"/>
    <col min="2" max="2" width="47" customWidth="1"/>
    <col min="3" max="3" width="22.6640625" customWidth="1"/>
    <col min="4" max="4" width="16.44140625" customWidth="1"/>
    <col min="5" max="8" width="9.5546875" bestFit="1" customWidth="1"/>
    <col min="9" max="9" width="193.21875" customWidth="1"/>
    <col min="10" max="10" width="8.77734375" customWidth="1"/>
  </cols>
  <sheetData>
    <row r="1" spans="1:9" x14ac:dyDescent="0.3">
      <c r="C1" t="s">
        <v>58</v>
      </c>
      <c r="D1" s="34" t="s">
        <v>59</v>
      </c>
      <c r="E1" t="s">
        <v>60</v>
      </c>
      <c r="F1" t="s">
        <v>61</v>
      </c>
    </row>
    <row r="2" spans="1:9" x14ac:dyDescent="0.3">
      <c r="A2" s="40"/>
      <c r="B2" s="40" t="s">
        <v>80</v>
      </c>
      <c r="C2" s="40">
        <v>3500</v>
      </c>
      <c r="D2" s="40">
        <v>0</v>
      </c>
      <c r="E2" s="40">
        <v>1</v>
      </c>
      <c r="F2" s="40">
        <v>1</v>
      </c>
      <c r="G2" s="40">
        <v>0</v>
      </c>
      <c r="H2" s="40">
        <v>0</v>
      </c>
      <c r="I2" s="36">
        <v>0</v>
      </c>
    </row>
    <row r="3" spans="1:9" x14ac:dyDescent="0.3">
      <c r="A3" s="35"/>
    </row>
    <row r="6" spans="1:9" s="34" customFormat="1" x14ac:dyDescent="0.3">
      <c r="C6" s="34" t="s">
        <v>59</v>
      </c>
      <c r="D6" s="34" t="s">
        <v>62</v>
      </c>
      <c r="E6" s="34" t="s">
        <v>63</v>
      </c>
      <c r="F6" s="34" t="s">
        <v>64</v>
      </c>
      <c r="G6" s="34" t="s">
        <v>65</v>
      </c>
      <c r="H6" s="34" t="s">
        <v>66</v>
      </c>
    </row>
    <row r="7" spans="1:9" x14ac:dyDescent="0.3">
      <c r="A7" s="35" t="s">
        <v>10</v>
      </c>
      <c r="B7" s="35" t="s">
        <v>10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/>
    </row>
    <row r="8" spans="1:9" ht="72" x14ac:dyDescent="0.3">
      <c r="A8" s="36"/>
      <c r="B8" s="36" t="s">
        <v>67</v>
      </c>
      <c r="C8" s="36">
        <v>5000</v>
      </c>
      <c r="D8" s="36">
        <v>555</v>
      </c>
      <c r="E8" s="36">
        <v>0</v>
      </c>
      <c r="F8" s="36">
        <v>11</v>
      </c>
      <c r="G8" s="36">
        <v>11</v>
      </c>
      <c r="H8" s="36">
        <v>17</v>
      </c>
      <c r="I8" s="36" t="s">
        <v>68</v>
      </c>
    </row>
    <row r="9" spans="1:9" ht="72" x14ac:dyDescent="0.3">
      <c r="A9" s="36"/>
      <c r="B9" s="36" t="s">
        <v>69</v>
      </c>
      <c r="C9" s="36">
        <v>10000</v>
      </c>
      <c r="D9" s="36">
        <v>1250</v>
      </c>
      <c r="E9" s="36">
        <v>0</v>
      </c>
      <c r="F9" s="36">
        <v>11</v>
      </c>
      <c r="G9" s="36">
        <v>11</v>
      </c>
      <c r="H9" s="36">
        <v>17</v>
      </c>
      <c r="I9" s="36" t="s">
        <v>68</v>
      </c>
    </row>
    <row r="10" spans="1:9" ht="72" x14ac:dyDescent="0.3">
      <c r="A10" s="36"/>
      <c r="B10" s="36" t="s">
        <v>70</v>
      </c>
      <c r="C10" s="36">
        <v>30000</v>
      </c>
      <c r="D10" s="37">
        <v>4000</v>
      </c>
      <c r="E10" s="36">
        <v>0</v>
      </c>
      <c r="F10" s="36">
        <v>11</v>
      </c>
      <c r="G10" s="36">
        <v>11</v>
      </c>
      <c r="H10" s="36">
        <v>17</v>
      </c>
      <c r="I10" s="36" t="s">
        <v>68</v>
      </c>
    </row>
    <row r="11" spans="1:9" ht="72" x14ac:dyDescent="0.3">
      <c r="A11" s="36"/>
      <c r="B11" s="36" t="s">
        <v>71</v>
      </c>
      <c r="C11" s="36">
        <v>50000</v>
      </c>
      <c r="D11" s="37">
        <v>7000</v>
      </c>
      <c r="E11" s="36">
        <v>0</v>
      </c>
      <c r="F11" s="36">
        <v>11</v>
      </c>
      <c r="G11" s="36">
        <v>11</v>
      </c>
      <c r="H11" s="36">
        <v>17</v>
      </c>
      <c r="I11" s="36" t="s">
        <v>68</v>
      </c>
    </row>
    <row r="12" spans="1:9" ht="72" x14ac:dyDescent="0.3">
      <c r="A12" s="36"/>
      <c r="B12" s="36" t="s">
        <v>72</v>
      </c>
      <c r="C12" s="36">
        <v>150000</v>
      </c>
      <c r="D12" s="37">
        <v>20000</v>
      </c>
      <c r="E12" s="36">
        <v>0</v>
      </c>
      <c r="F12" s="36">
        <v>10.5</v>
      </c>
      <c r="G12" s="36">
        <v>10.5</v>
      </c>
      <c r="H12" s="36">
        <v>17</v>
      </c>
      <c r="I12" s="36" t="s">
        <v>68</v>
      </c>
    </row>
    <row r="13" spans="1:9" ht="72" x14ac:dyDescent="0.3">
      <c r="A13" s="36"/>
      <c r="B13" s="36" t="s">
        <v>73</v>
      </c>
      <c r="C13" s="36">
        <v>200000</v>
      </c>
      <c r="D13" s="37">
        <v>28571</v>
      </c>
      <c r="E13" s="36">
        <v>0</v>
      </c>
      <c r="F13" s="36">
        <v>10.5</v>
      </c>
      <c r="G13" s="36">
        <v>10.5</v>
      </c>
      <c r="H13" s="36">
        <v>17</v>
      </c>
      <c r="I13" s="36" t="s">
        <v>68</v>
      </c>
    </row>
    <row r="14" spans="1:9" ht="72" x14ac:dyDescent="0.3">
      <c r="A14" s="36"/>
      <c r="B14" s="36" t="s">
        <v>74</v>
      </c>
      <c r="C14" s="36">
        <v>600000</v>
      </c>
      <c r="D14" s="37">
        <v>85714</v>
      </c>
      <c r="E14" s="36">
        <v>0</v>
      </c>
      <c r="F14" s="36">
        <v>10</v>
      </c>
      <c r="G14" s="36">
        <v>10</v>
      </c>
      <c r="H14" s="36">
        <v>17</v>
      </c>
      <c r="I14" s="36" t="s">
        <v>68</v>
      </c>
    </row>
    <row r="15" spans="1:9" ht="72" x14ac:dyDescent="0.3">
      <c r="A15" s="36"/>
      <c r="B15" s="36" t="s">
        <v>75</v>
      </c>
      <c r="C15" s="36">
        <v>700000</v>
      </c>
      <c r="D15" s="37">
        <v>100000</v>
      </c>
      <c r="E15" s="36">
        <v>0</v>
      </c>
      <c r="F15" s="36">
        <v>9</v>
      </c>
      <c r="G15" s="36">
        <v>9</v>
      </c>
      <c r="H15" s="36">
        <v>17</v>
      </c>
      <c r="I15" s="36" t="s">
        <v>68</v>
      </c>
    </row>
    <row r="16" spans="1:9" ht="72" x14ac:dyDescent="0.3">
      <c r="A16" s="36"/>
      <c r="B16" s="36" t="s">
        <v>76</v>
      </c>
      <c r="C16" s="36">
        <v>1000000</v>
      </c>
      <c r="D16" s="37">
        <v>142857</v>
      </c>
      <c r="E16" s="36">
        <v>0</v>
      </c>
      <c r="F16" s="36">
        <v>9</v>
      </c>
      <c r="G16" s="36">
        <v>9</v>
      </c>
      <c r="H16" s="36">
        <v>17</v>
      </c>
      <c r="I16" s="36" t="s">
        <v>68</v>
      </c>
    </row>
    <row r="17" spans="1:9" x14ac:dyDescent="0.3">
      <c r="I17" s="36"/>
    </row>
    <row r="18" spans="1:9" x14ac:dyDescent="0.3">
      <c r="A18" s="38" t="s">
        <v>10</v>
      </c>
      <c r="I18" s="36"/>
    </row>
    <row r="19" spans="1:9" x14ac:dyDescent="0.3">
      <c r="A19" t="s">
        <v>77</v>
      </c>
      <c r="I19" s="36"/>
    </row>
    <row r="20" spans="1:9" x14ac:dyDescent="0.3">
      <c r="A20" t="s">
        <v>78</v>
      </c>
    </row>
  </sheetData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Форма" ma:contentTypeID="0x010101005735C98F2F9FC74E9C48A2E5D7E53F63" ma:contentTypeVersion="27118" ma:contentTypeDescription="Заполнение формы." ma:contentTypeScope="" ma:versionID="a669978e604b8b8f6328f08562b839fa">
  <xsd:schema xmlns:xsd="http://www.w3.org/2001/XMLSchema" xmlns:xs="http://www.w3.org/2001/XMLSchema" xmlns:p="http://schemas.microsoft.com/office/2006/metadata/properties" xmlns:ns1="http://schemas.microsoft.com/sharepoint/v3" xmlns:ns2="34351eb4-5e07-4c99-b842-6b98263d0705" targetNamespace="http://schemas.microsoft.com/office/2006/metadata/properties" ma:root="true" ma:fieldsID="1350af98472859266514a7173cdd1a10" ns1:_="" ns2:_="">
    <xsd:import namespace="http://schemas.microsoft.com/sharepoint/v3"/>
    <xsd:import namespace="34351eb4-5e07-4c99-b842-6b98263d0705"/>
    <xsd:element name="properties">
      <xsd:complexType>
        <xsd:sequence>
          <xsd:element name="documentManagement">
            <xsd:complexType>
              <xsd:all>
                <xsd:element ref="ns1:ShowRepairView" minOccurs="0"/>
                <xsd:element ref="ns1:TemplateUrl" minOccurs="0"/>
                <xsd:element ref="ns1:xd_ProgID" minOccurs="0"/>
                <xsd:element ref="ns2:BIN" minOccurs="0"/>
                <xsd:element ref="ns2:Account_x0020_Name" minOccurs="0"/>
                <xsd:element ref="ns2:_x0424__x043e__x0440__x043c__x0430_" minOccurs="0"/>
                <xsd:element ref="ns2:_x0423__x0441__x0442__x0430__x0432_" minOccurs="0"/>
                <xsd:element ref="ns2:_x0421__x0432__x0438__x0434__x0435__x0442__x0435__x043b__x044c__x0441__x0442__x0432__x043e___x041d__x0414__x0421_" minOccurs="0"/>
                <xsd:element ref="ns2:_x0421__x0432__x0438__x0434__x0435__x0442__x0435__x043b__x044c__x0441__x0442__x0432__x043e___x043e___x0440__x0435__x0433__x0438__x0441__x0442__x0440__x0430__x0446__x0438__x0438_" minOccurs="0"/>
                <xsd:element ref="ns2:_x0414__x043e__x0432__x0435__x0440__x0435__x043d__x043d__x043e__x0441__x0442__x044c_" minOccurs="0"/>
                <xsd:element ref="ns2:_x0423__x0434__x043e__x0441__x0442__x043e__x0432__x0435__x0440__x0435__x043d__x0438__x0435___x043b__x0438__x0447__x043d__x043e__x0441__x0442__x0438_" minOccurs="0"/>
                <xsd:element ref="ns2:_x0421__x0432__x0438__x0434__x0435__x0442__x0435__x043b__x044c__x0441__x0442__x0432__x043e___x0418__x041f_" minOccurs="0"/>
                <xsd:element ref="ns2:C_x043f__x0440__x0430__x0432__x043a__x0430___x0441___x0431__x0430__x043d__x043a__x0430___x043e___x043d__x0430__x043b__x0438__x0447__x0438__x0438___x0431__x0430__x043d__x043a__x043e__x0432__x0441__x043a__x0438__x0445___x0440__x0435__x043a__x0432__x0438__x0437__x0438__x0442__x043e__x0432___x0418__x041f_" minOccurs="0"/>
                <xsd:element ref="ns2:_x041f__x0440__x0438__x043a__x0430__x0437___x043e___x043d__x0430__x0437__x043d__x0430__x0447__x0435__x043d__x0438__x0438_" minOccurs="0"/>
                <xsd:element ref="ns2:_x0412__x044b__x043f__x0438__x0441__x043a__x0430___x0438__x0437___x043f__x0440__x043e__x0442__x043e__x043a__x043e__x043b__x0430___x0443__x0447__x0430__x0441__x0442__x043d__x0438__x043a__x043e__x0432_" minOccurs="0"/>
                <xsd:element ref="ns2:_x041f__x0430__x0440__x043e__x043b__x044c___x043d__x0430___x0432__x0435__x0440__x0438__x0444__x0438__x043a__x0430__x0446__x0438__x044e_" minOccurs="0"/>
                <xsd:element ref="ns2:_x041f__x0430__x0440__x043e__x043b__x044c___x043d__x0430___x0432__x0435__x0440__x0438__x0444__x0438__x043a__x0430__x0446__x0438__x044e___x0418__x041f_" minOccurs="0"/>
                <xsd:element ref="ns2:_x041f__x0440__x0438__x043a__x0430__x0437___x043d__x0430__x0447__x0430__x043b__x043e_" minOccurs="0"/>
                <xsd:element ref="ns2:_x041f__x0440__x0438__x043a__x0430__x0437___x043a__x043e__x043d__x0435__x0446_" minOccurs="0"/>
                <xsd:element ref="ns2:_x0412__x044b__x043f__x0438__x0441__x043a__x0430___x043d__x0430__x0447__x0430__x043b__x043e_" minOccurs="0"/>
                <xsd:element ref="ns2:_x0412__x044b__x043f__x0438__x0441__x043a__x0430___x043a__x043e__x043d__x0435__x0446_" minOccurs="0"/>
                <xsd:element ref="ns2:_x0414__x043e__x0432__x0435__x0440__x0435__x043d__x043d__x043e__x0441__x0442__x044c___x043d__x0430__x0447__x0430__x043b__x043e_" minOccurs="0"/>
                <xsd:element ref="ns2:_x0414__x043e__x0432__x0435__x0440__x0435__x043d__x043d__x043e__x0441__x0442__x044c___x043e__x043a__x043e__x043d__x0447__x0430__x043d__x0438__x0435_" minOccurs="0"/>
                <xsd:element ref="ns2:KASE" minOccurs="0"/>
                <xsd:element ref="ns2:SM" minOccurs="0"/>
                <xsd:element ref="ns2:Company_x0020_Documents" minOccurs="0"/>
                <xsd:element ref="ns2:_x0418__x041f___x0443__x0434___x043a__x043e__x043d__x0435__x0446_" minOccurs="0"/>
                <xsd:element ref="ns2:C_x043f__x0440__x0430__x0432__x043a__x0430___x0441___x0431__x0430__x043d__x043a__x0430___x043e___x043d__x0430__x043b__x0438__x0447__x0438__x0438___x0431__x0430__x043d__x043a__x043e__x0432__x0441__x043a__x0438__x0445___x0440__x0435__x043a__x0432__x0438__x0437__x0438__x0442__x043e__x0432_" minOccurs="0"/>
                <xsd:element ref="ns2:_x0414__x043e__x0433__x043e__x0432__x043e__x0440__x0020__x0430__x0440__x0435__x043d__x0434__x044b_" minOccurs="0"/>
                <xsd:element ref="ns2:_x0410__x043a__x0442__x0020__x043f__x0440__x0438__x0435__x043c__x0430__x0020__x043f__x043e__x043c__x0435__x0449__x0435__x043d__x0438__x044f_0" minOccurs="0"/>
                <xsd:element ref="ns2:_x0410__x043a__x0442__x0443__x043b__x044c__x043d__x043e__x0441__x0442__x044c_" minOccurs="0"/>
                <xsd:element ref="ns2:_x0410__x043a__x0442__x0443__x043b__x044c__x043d__x043e__x0441__x0442__x044c_1" minOccurs="0"/>
                <xsd:element ref="ns2:_x0414__x0430__x0442__x0430___x043e__x043a__x043e__x043d__x0447__x0430__x043d__x0438__x044f___x0434__x0435__x0439__x0441__x0442__x0432__x0438__x044f_" minOccurs="0"/>
                <xsd:element ref="ns2:_x0414__x0430__x0442__x0430___x043e__x043a__x043e__x043d__x0447__x0430__x043d__x0438__x044f___x0434__x0435__x0439__x0441__x0442__x0432__x0438__x044f_1" minOccurs="0"/>
                <xsd:element ref="ns2:_x042e__x0440__x0438__x0434__x0438__x0447__x0435__x0441__x043a__x043e__x0435___x043d__x0430__x0438__x043c__x0435__x043d__x043e__x0432__x0430__x043d__x0438__x0435_" minOccurs="0"/>
                <xsd:element ref="ns2:_x0421__x0442__x0440__x0430__x043d__x0430___x044e__x0440_" minOccurs="0"/>
                <xsd:element ref="ns2:_x0418__x043d__x0434__x0435__x043a__x0441___x044e__x0440_" minOccurs="0"/>
                <xsd:element ref="ns2:_x0413__x043e__x0440__x043e__x0434___x044e__x0440_" minOccurs="0"/>
                <xsd:element ref="ns2:_x0410__x0434__x0440__x0435__x0441___x044e__x0440_" minOccurs="0"/>
                <xsd:element ref="ns2:_x0421__x0442__x0440__x0430__x043d__x0430___x0444__x0430__x043a__x0442_" minOccurs="0"/>
                <xsd:element ref="ns2:_x0418__x043d__x0434__x0435__x043a__x0441___x0444__x0430__x043a__x0442_" minOccurs="0"/>
                <xsd:element ref="ns2:_x0413__x043e__x0440__x043e__x0434___x0444__x0430__x043a__x0442_" minOccurs="0"/>
                <xsd:element ref="ns2:_x0410__x0434__x0440__x0435__x0441___x0444__x0430__x043a__x0442_" minOccurs="0"/>
                <xsd:element ref="ns2:_x0442__x0435__x043b__x0435__x0444__x043e__x043d___x0444__x0430__x043a__x0441_" minOccurs="0"/>
                <xsd:element ref="ns2:E_x0020_Mail" minOccurs="0"/>
                <xsd:element ref="ns2:_x0411__x0430__x043d__x043a_" minOccurs="0"/>
                <xsd:element ref="ns2:IBAN" minOccurs="0"/>
                <xsd:element ref="ns2:_x0411__x0418__x041a_" minOccurs="0"/>
                <xsd:element ref="ns2:_x0411__x0418__x041d_" minOccurs="0"/>
                <xsd:element ref="ns2:_x041a__x0411__x0415_" minOccurs="0"/>
                <xsd:element ref="ns2:_x0410__x043a__x0442__x0438__x0432__x043d__x043e__x0441__x0442__x044c_" minOccurs="0"/>
                <xsd:element ref="ns2:_x041f__x0430__x0440__x043e__x043b__x044c_" minOccurs="0"/>
                <xsd:element ref="ns2:_x041a__x043e__x043d__x0442__x0430__x043a__x0442__x043d__x044b__x0439___x0430__x0431__x043e__x043d__x0435__x043d__x0442__x0441__x043a__x0438__x0439___x043d__x043e__x043c__x0435__x0440_" minOccurs="0"/>
                <xsd:element ref="ns2:_x042d__x043b__x0435__x043a__x0442__x0440__x043e__x043d__x043d__x044b__x0439___x0430__x0434__x0440__x0435__x0441_" minOccurs="0"/>
                <xsd:element ref="ns2:Test" minOccurs="0"/>
                <xsd:element ref="ns2:Company_x0020_Link" minOccurs="0"/>
                <xsd:element ref="ns2:Update" minOccurs="0"/>
                <xsd:element ref="ns2:Link" minOccurs="0"/>
                <xsd:element ref="ns2:_x041f__x0438__x0441__x044c__x043c__x043e___x0441__x043e__x0433__x043b__x0430__x0441__x0438__x0435___x0441__x0442__x0430__x0442__x0443__x0441_" minOccurs="0"/>
                <xsd:element ref="ns2:_x041f__x0438__x0441__x044c__x043c__x043e___x0441__x043e__x0433__x043b__x0430__x0441__x0438__x0435__date" minOccurs="0"/>
                <xsd:element ref="ns2:_x041f__x0438__x0441__x044c__x043c__x043e___x0441__x043e__x0433__x043b__x0430__x0441__x0438__x0435___x044e__x0437__x0435__x0440_" minOccurs="0"/>
                <xsd:element ref="ns2:_x041f__x0438__x0441__x044c__x043c__x043e___x0441__x043e__x0433__x043b__x0430__x0441__x0438__x0435___x043e__x0440__x0438__x0433__x0438__x043d__x0430__x043b_" minOccurs="0"/>
                <xsd:element ref="ns2:_x041f__x0438__x0441__x044c__x043c__x043e___x0441__x043e__x0433__x043b__x0430__x0441__x0438__x0435___x043e__x0440__x0438__x0433__x0438__x043d__x0430__x043b___x0438__x0441__x0442__x043e__x0440__x0438__x044f_" minOccurs="0"/>
                <xsd:element ref="ns2:_x0414__x043e__x0432__x0435__x0440__x0435__x043d__x043d__x043e__x0441__x0442__x044c___x043d__x0430__x043b__x0438__x0447__x0438__x0435___x043e__x0440__x0438__x0433__x0438__x043d__x0430__x043b__x0430_" minOccurs="0"/>
                <xsd:element ref="ns2:_x0424__x0418__x041e___x043f__x043e__x0432__x0435__x0440__x0435__x043d__x043d__x043e__x0433__x043e_" minOccurs="0"/>
                <xsd:element ref="ns2:_x0412__x0435__x0440__x0438__x0444__x0438__x043a__x0430__x0446__x0438__x044f___x043d__x0430__x043b__x0438__x0447__x0438__x0435___x043e__x0440__x0438__x0433__x0438__x043d__x0430__x043b__x0430_" minOccurs="0"/>
                <xsd:element ref="ns2:_x0412__x0435__x0440__x0438__x0444__x0438__x043a__x0430__x0446__x0438__x044f___x043d__x0430__x043b__x0438__x0447__x0438__x0435___x043e__x0440__x0438__x0433__x0438__x043d__x0430__x043b__x0430___x0438__x0441__x0442__x043e__x0440__x0438__x044f_" minOccurs="0"/>
                <xsd:element ref="ns2:_x0414__x043e__x0432__x0435__x0440__x0435__x043d__x043d__x043e__x0441__x0442__x044c___x043d__x0430__x043b__x0438__x0447__x0438__x0435___x043e__x0440__x0438__x0433__x0438__x043d__x0430__x043b__x0430___x0438__x0441__x0442__x043e__x0440__x0438__x044f_" minOccurs="0"/>
                <xsd:element ref="ns2:_x041f__x0430__x0440__x043e__x043b__x044c__2" minOccurs="0"/>
                <xsd:element ref="ns2:_x041f__x0430__x0440__x043e__x043b__x044c___x0438__x0441__x0442__x043e__x0440__x0438__x044f__2" minOccurs="0"/>
                <xsd:element ref="ns2:_x041a__x043e__x043d__x0442__x0430__x043a__x0442__x043d__x044b__x0439___x0430__x0431__x043e__x043d__x0435__x043d__x0442__x0441__x043a__x0438__x0439___x043d__x043e__x043c__x0435__x0440__2" minOccurs="0"/>
                <xsd:element ref="ns2:_x042d__x043b__x0435__x043a__x0442__x0440__x043e__x043d__x043d__x044b__x0439___x0430__x0434__x0440__x0435__x0441__2" minOccurs="0"/>
                <xsd:element ref="ns2:_x0412__x0435__x0440__x0438__x0444__x0438__x043a__x0430__x0446__x0438__x044f___x043d__x0430__x043b__x0438__x0447__x0438__x0435___x043e__x0440__x0438__x0433__x0438__x043d__x0430__x043b__x0430__2" minOccurs="0"/>
                <xsd:element ref="ns2:_x0412__x0435__x0440__x0438__x0444__x0438__x043a__x0430__x0446__x0438__x044f___x043d__x0430__x043b__x0438__x0447__x0438__x0435___x043e__x0440__x0438__x0433__x0438__x043d__x0430__x043b__x0430___x0438__x0441__x0442__x043e__x0440__x0438__x044f__2" minOccurs="0"/>
                <xsd:element ref="ns2:Email__x0443__x0434_" minOccurs="0"/>
                <xsd:element ref="ns2:_x0422__x0435__x0441__x0442___x043f__x0430__x0440__x043e__x043b__x044f_" minOccurs="0"/>
                <xsd:element ref="ns2:_x0422__x0438__x043f___x0434__x043e__x0432__x0435__x0440__x0435__x043d__x043d__x043e__x0441__x0442__x0438_" minOccurs="0"/>
                <xsd:element ref="ns2:_x0422__x0438__x043f___x0434__x043e__x043a__x0443__x043c__x0435__x043d__x0442__x0430_" minOccurs="0"/>
                <xsd:element ref="ns2:_x041a__x043e__x043d__x0442__x0430__x043a__x0442__x043d__x044b__x0439___x043d__x043e__x043c__x0435__x0440_" minOccurs="0"/>
                <xsd:element ref="ns2:User" minOccurs="0"/>
                <xsd:element ref="ns1:ShowCombineVie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RepairView" ma:index="9" nillable="true" ma:displayName="Показать представление восстановления" ma:hidden="true" ma:internalName="ShowRepairView" ma:readOnly="false">
      <xsd:simpleType>
        <xsd:restriction base="dms:Text"/>
      </xsd:simpleType>
    </xsd:element>
    <xsd:element name="TemplateUrl" ma:index="10" nillable="true" ma:displayName="Ссылка на шаблон" ma:hidden="true" ma:internalName="TemplateUrl" ma:readOnly="false">
      <xsd:simpleType>
        <xsd:restriction base="dms:Text"/>
      </xsd:simpleType>
    </xsd:element>
    <xsd:element name="xd_ProgID" ma:index="11" nillable="true" ma:displayName="Ссылка на HTML-файл" ma:hidden="true" ma:internalName="xd_ProgID" ma:readOnly="false">
      <xsd:simpleType>
        <xsd:restriction base="dms:Text"/>
      </xsd:simpleType>
    </xsd:element>
    <xsd:element name="ShowCombineView" ma:index="89" nillable="true" ma:displayName="Показать составное представление" ma:hidden="true" ma:internalName="ShowCombineView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351eb4-5e07-4c99-b842-6b98263d0705" elementFormDefault="qualified">
    <xsd:import namespace="http://schemas.microsoft.com/office/2006/documentManagement/types"/>
    <xsd:import namespace="http://schemas.microsoft.com/office/infopath/2007/PartnerControls"/>
    <xsd:element name="BIN" ma:index="12" nillable="true" ma:displayName="BIN" ma:internalName="BIN" ma:readOnly="true">
      <xsd:simpleType>
        <xsd:restriction base="dms:Text"/>
      </xsd:simpleType>
    </xsd:element>
    <xsd:element name="Account_x0020_Name" ma:index="13" nillable="true" ma:displayName="Account Name" ma:internalName="Account_x0020_Name" ma:readOnly="true">
      <xsd:simpleType>
        <xsd:restriction base="dms:Text"/>
      </xsd:simpleType>
    </xsd:element>
    <xsd:element name="_x0424__x043e__x0440__x043c__x0430_" ma:index="14" nillable="true" ma:displayName="Форма" ma:internalName="_x0424__x043e__x0440__x043c__x0430_" ma:readOnly="true">
      <xsd:simpleType>
        <xsd:restriction base="dms:Text"/>
      </xsd:simpleType>
    </xsd:element>
    <xsd:element name="_x0423__x0441__x0442__x0430__x0432_" ma:index="15" nillable="true" ma:displayName="Устав" ma:internalName="_x0423__x0441__x0442__x0430__x0432_" ma:readOnly="true">
      <xsd:simpleType>
        <xsd:restriction base="dms:Boolean"/>
      </xsd:simpleType>
    </xsd:element>
    <xsd:element name="_x0421__x0432__x0438__x0434__x0435__x0442__x0435__x043b__x044c__x0441__x0442__x0432__x043e___x041d__x0414__x0421_" ma:index="16" nillable="true" ma:displayName="Свидетельство_НДС" ma:internalName="_x0421__x0432__x0438__x0434__x0435__x0442__x0435__x043b__x044c__x0441__x0442__x0432__x043e___x041d__x0414__x0421_" ma:readOnly="true">
      <xsd:simpleType>
        <xsd:restriction base="dms:Boolean"/>
      </xsd:simpleType>
    </xsd:element>
    <xsd:element name="_x0421__x0432__x0438__x0434__x0435__x0442__x0435__x043b__x044c__x0441__x0442__x0432__x043e___x043e___x0440__x0435__x0433__x0438__x0441__x0442__x0440__x0430__x0446__x0438__x0438_" ma:index="17" nillable="true" ma:displayName="Свидетельство_о_регистрации" ma:internalName="_x0421__x0432__x0438__x0434__x0435__x0442__x0435__x043b__x044c__x0441__x0442__x0432__x043e___x043e___x0440__x0435__x0433__x0438__x0441__x0442__x0440__x0430__x0446__x0438__x0438_" ma:readOnly="true">
      <xsd:simpleType>
        <xsd:restriction base="dms:Boolean"/>
      </xsd:simpleType>
    </xsd:element>
    <xsd:element name="_x0414__x043e__x0432__x0435__x0440__x0435__x043d__x043d__x043e__x0441__x0442__x044c_" ma:index="18" nillable="true" ma:displayName="Доверенность" ma:internalName="_x0414__x043e__x0432__x0435__x0440__x0435__x043d__x043d__x043e__x0441__x0442__x044c_" ma:readOnly="true">
      <xsd:simpleType>
        <xsd:restriction base="dms:Boolean"/>
      </xsd:simpleType>
    </xsd:element>
    <xsd:element name="_x0423__x0434__x043e__x0441__x0442__x043e__x0432__x0435__x0440__x0435__x043d__x0438__x0435___x043b__x0438__x0447__x043d__x043e__x0441__x0442__x0438_" ma:index="19" nillable="true" ma:displayName="Удостоверение_личности" ma:internalName="_x0423__x0434__x043e__x0441__x0442__x043e__x0432__x0435__x0440__x0435__x043d__x0438__x0435___x043b__x0438__x0447__x043d__x043e__x0441__x0442__x0438_" ma:readOnly="true">
      <xsd:simpleType>
        <xsd:restriction base="dms:Boolean"/>
      </xsd:simpleType>
    </xsd:element>
    <xsd:element name="_x0421__x0432__x0438__x0434__x0435__x0442__x0435__x043b__x044c__x0441__x0442__x0432__x043e___x0418__x041f_" ma:index="20" nillable="true" ma:displayName="Свидетельство_ИП" ma:internalName="_x0421__x0432__x0438__x0434__x0435__x0442__x0435__x043b__x044c__x0441__x0442__x0432__x043e___x0418__x041f_" ma:readOnly="true">
      <xsd:simpleType>
        <xsd:restriction base="dms:Boolean"/>
      </xsd:simpleType>
    </xsd:element>
    <xsd:element name="C_x043f__x0440__x0430__x0432__x043a__x0430___x0441___x0431__x0430__x043d__x043a__x0430___x043e___x043d__x0430__x043b__x0438__x0447__x0438__x0438___x0431__x0430__x043d__x043a__x043e__x0432__x0441__x043a__x0438__x0445___x0440__x0435__x043a__x0432__x0438__x0437__x0438__x0442__x043e__x0432___x0418__x041f_" ma:index="21" nillable="true" ma:displayName="Cправка_с_банка_о_наличии_банковских_реквизитов_ИП" ma:internalName="C_x043f__x0440__x0430__x0432__x043a__x0430___x0441___x0431__x0430__x043d__x043a__x0430___x043e___x043d__x0430__x043b__x0438__x0447__x0438__x0438___x0431__x0430__x043d__x043a__x043e__x0432__x0441__x043a__x0438__x0445___x0440__x0435__x043a__x0432__x0438__x0437__x0438__x0442__x043e__x0432___x0418__x041f_" ma:readOnly="true">
      <xsd:simpleType>
        <xsd:restriction base="dms:Boolean"/>
      </xsd:simpleType>
    </xsd:element>
    <xsd:element name="_x041f__x0440__x0438__x043a__x0430__x0437___x043e___x043d__x0430__x0437__x043d__x0430__x0447__x0435__x043d__x0438__x0438_" ma:index="22" nillable="true" ma:displayName="Приказ_о_назначении" ma:internalName="_x041f__x0440__x0438__x043a__x0430__x0437___x043e___x043d__x0430__x0437__x043d__x0430__x0447__x0435__x043d__x0438__x0438_" ma:readOnly="true">
      <xsd:simpleType>
        <xsd:restriction base="dms:Boolean"/>
      </xsd:simpleType>
    </xsd:element>
    <xsd:element name="_x0412__x044b__x043f__x0438__x0441__x043a__x0430___x0438__x0437___x043f__x0440__x043e__x0442__x043e__x043a__x043e__x043b__x0430___x0443__x0447__x0430__x0441__x0442__x043d__x0438__x043a__x043e__x0432_" ma:index="23" nillable="true" ma:displayName="Выписка_из_протокола_участников" ma:internalName="_x0412__x044b__x043f__x0438__x0441__x043a__x0430___x0438__x0437___x043f__x0440__x043e__x0442__x043e__x043a__x043e__x043b__x0430___x0443__x0447__x0430__x0441__x0442__x043d__x0438__x043a__x043e__x0432_" ma:readOnly="true">
      <xsd:simpleType>
        <xsd:restriction base="dms:Boolean"/>
      </xsd:simpleType>
    </xsd:element>
    <xsd:element name="_x041f__x0430__x0440__x043e__x043b__x044c___x043d__x0430___x0432__x0435__x0440__x0438__x0444__x0438__x043a__x0430__x0446__x0438__x044e_" ma:index="24" nillable="true" ma:displayName="Пароль_на_верификацию" ma:internalName="_x041f__x0430__x0440__x043e__x043b__x044c___x043d__x0430___x0432__x0435__x0440__x0438__x0444__x0438__x043a__x0430__x0446__x0438__x044e_" ma:readOnly="true">
      <xsd:simpleType>
        <xsd:restriction base="dms:Boolean"/>
      </xsd:simpleType>
    </xsd:element>
    <xsd:element name="_x041f__x0430__x0440__x043e__x043b__x044c___x043d__x0430___x0432__x0435__x0440__x0438__x0444__x0438__x043a__x0430__x0446__x0438__x044e___x0418__x041f_" ma:index="25" nillable="true" ma:displayName="Пароль_на_верификацию_ИП" ma:internalName="_x041f__x0430__x0440__x043e__x043b__x044c___x043d__x0430___x0432__x0435__x0440__x0438__x0444__x0438__x043a__x0430__x0446__x0438__x044e___x0418__x041f_" ma:readOnly="true">
      <xsd:simpleType>
        <xsd:restriction base="dms:Boolean"/>
      </xsd:simpleType>
    </xsd:element>
    <xsd:element name="_x041f__x0440__x0438__x043a__x0430__x0437___x043d__x0430__x0447__x0430__x043b__x043e_" ma:index="26" nillable="true" ma:displayName="Приказ_начало" ma:internalName="_x041f__x0440__x0438__x043a__x0430__x0437___x043d__x0430__x0447__x0430__x043b__x043e_" ma:readOnly="true">
      <xsd:simpleType>
        <xsd:restriction base="dms:Text"/>
      </xsd:simpleType>
    </xsd:element>
    <xsd:element name="_x041f__x0440__x0438__x043a__x0430__x0437___x043a__x043e__x043d__x0435__x0446_" ma:index="27" nillable="true" ma:displayName="Приказ_конец" ma:internalName="_x041f__x0440__x0438__x043a__x0430__x0437___x043a__x043e__x043d__x0435__x0446_" ma:readOnly="true">
      <xsd:simpleType>
        <xsd:restriction base="dms:Text"/>
      </xsd:simpleType>
    </xsd:element>
    <xsd:element name="_x0412__x044b__x043f__x0438__x0441__x043a__x0430___x043d__x0430__x0447__x0430__x043b__x043e_" ma:index="28" nillable="true" ma:displayName="Выписка_начало" ma:internalName="_x0412__x044b__x043f__x0438__x0441__x043a__x0430___x043d__x0430__x0447__x0430__x043b__x043e_" ma:readOnly="true">
      <xsd:simpleType>
        <xsd:restriction base="dms:Text"/>
      </xsd:simpleType>
    </xsd:element>
    <xsd:element name="_x0412__x044b__x043f__x0438__x0441__x043a__x0430___x043a__x043e__x043d__x0435__x0446_" ma:index="29" nillable="true" ma:displayName="Выписка_конец" ma:internalName="_x0412__x044b__x043f__x0438__x0441__x043a__x0430___x043a__x043e__x043d__x0435__x0446_" ma:readOnly="true">
      <xsd:simpleType>
        <xsd:restriction base="dms:Text"/>
      </xsd:simpleType>
    </xsd:element>
    <xsd:element name="_x0414__x043e__x0432__x0435__x0440__x0435__x043d__x043d__x043e__x0441__x0442__x044c___x043d__x0430__x0447__x0430__x043b__x043e_" ma:index="30" nillable="true" ma:displayName="Доверенность_начало" ma:internalName="_x0414__x043e__x0432__x0435__x0440__x0435__x043d__x043d__x043e__x0441__x0442__x044c___x043d__x0430__x0447__x0430__x043b__x043e_" ma:readOnly="true">
      <xsd:simpleType>
        <xsd:restriction base="dms:Note">
          <xsd:maxLength value="255"/>
        </xsd:restriction>
      </xsd:simpleType>
    </xsd:element>
    <xsd:element name="_x0414__x043e__x0432__x0435__x0440__x0435__x043d__x043d__x043e__x0441__x0442__x044c___x043e__x043a__x043e__x043d__x0447__x0430__x043d__x0438__x0435_" ma:index="31" nillable="true" ma:displayName="Доверенность_окончание" ma:internalName="_x0414__x043e__x0432__x0435__x0440__x0435__x043d__x043d__x043e__x0441__x0442__x044c___x043e__x043a__x043e__x043d__x0447__x0430__x043d__x0438__x0435_" ma:readOnly="true">
      <xsd:simpleType>
        <xsd:restriction base="dms:Note">
          <xsd:maxLength value="255"/>
        </xsd:restriction>
      </xsd:simpleType>
    </xsd:element>
    <xsd:element name="KASE" ma:index="32" nillable="true" ma:displayName="KASE" ma:internalName="KASE" ma:readOnly="true">
      <xsd:simpleType>
        <xsd:restriction base="dms:Text"/>
      </xsd:simpleType>
    </xsd:element>
    <xsd:element name="SM" ma:index="33" nillable="true" ma:displayName="SM" ma:internalName="SM" ma:readOnly="true">
      <xsd:simpleType>
        <xsd:restriction base="dms:Text"/>
      </xsd:simpleType>
    </xsd:element>
    <xsd:element name="Company_x0020_Documents" ma:index="34" nillable="true" ma:displayName="Company Documents" ma:internalName="Company_x0020_Document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x0418__x041f___x0443__x0434___x043a__x043e__x043d__x0435__x0446_" ma:index="35" nillable="true" ma:displayName="ИП_уд_конец" ma:internalName="_x0418__x041f___x0443__x0434___x043a__x043e__x043d__x0435__x0446_" ma:readOnly="true">
      <xsd:simpleType>
        <xsd:restriction base="dms:Text"/>
      </xsd:simpleType>
    </xsd:element>
    <xsd:element name="C_x043f__x0440__x0430__x0432__x043a__x0430___x0441___x0431__x0430__x043d__x043a__x0430___x043e___x043d__x0430__x043b__x0438__x0447__x0438__x0438___x0431__x0430__x043d__x043a__x043e__x0432__x0441__x043a__x0438__x0445___x0440__x0435__x043a__x0432__x0438__x0437__x0438__x0442__x043e__x0432_" ma:index="36" nillable="true" ma:displayName="Cправка_с_банка_о_наличии_банковских_реквизитов" ma:internalName="C_x043f__x0440__x0430__x0432__x043a__x0430___x0441___x0431__x0430__x043d__x043a__x0430___x043e___x043d__x0430__x043b__x0438__x0447__x0438__x0438___x0431__x0430__x043d__x043a__x043e__x0432__x0441__x043a__x0438__x0445___x0440__x0435__x043a__x0432__x0438__x0437__x0438__x0442__x043e__x0432_" ma:readOnly="true">
      <xsd:simpleType>
        <xsd:restriction base="dms:Boolean"/>
      </xsd:simpleType>
    </xsd:element>
    <xsd:element name="_x0414__x043e__x0433__x043e__x0432__x043e__x0440__x0020__x0430__x0440__x0435__x043d__x0434__x044b_" ma:index="37" nillable="true" ma:displayName="Договор аренды" ma:internalName="_x0414__x043e__x0433__x043e__x0432__x043e__x0440__x0020__x0430__x0440__x0435__x043d__x0434__x044b_" ma:readOnly="true">
      <xsd:simpleType>
        <xsd:restriction base="dms:Boolean"/>
      </xsd:simpleType>
    </xsd:element>
    <xsd:element name="_x0410__x043a__x0442__x0020__x043f__x0440__x0438__x0435__x043c__x0430__x0020__x043f__x043e__x043c__x0435__x0449__x0435__x043d__x0438__x044f_0" ma:index="38" nillable="true" ma:displayName="Акт приема помещения" ma:internalName="_x0410__x043a__x0442__x0020__x043f__x0440__x0438__x0435__x043c__x0430__x0020__x043f__x043e__x043c__x0435__x0449__x0435__x043d__x0438__x044f_0" ma:readOnly="true">
      <xsd:simpleType>
        <xsd:restriction base="dms:Boolean"/>
      </xsd:simpleType>
    </xsd:element>
    <xsd:element name="_x0410__x043a__x0442__x0443__x043b__x044c__x043d__x043e__x0441__x0442__x044c_" ma:index="39" nillable="true" ma:displayName="Актульность" ma:internalName="_x0410__x043a__x0442__x0443__x043b__x044c__x043d__x043e__x0441__x0442__x044c_" ma:readOnly="true">
      <xsd:simpleType>
        <xsd:restriction base="dms:Text"/>
      </xsd:simpleType>
    </xsd:element>
    <xsd:element name="_x0410__x043a__x0442__x0443__x043b__x044c__x043d__x043e__x0441__x0442__x044c_1" ma:index="40" nillable="true" ma:displayName="Актульность1" ma:internalName="_x0410__x043a__x0442__x0443__x043b__x044c__x043d__x043e__x0441__x0442__x044c_1" ma:readOnly="true">
      <xsd:simpleType>
        <xsd:restriction base="dms:Text"/>
      </xsd:simpleType>
    </xsd:element>
    <xsd:element name="_x0414__x0430__x0442__x0430___x043e__x043a__x043e__x043d__x0447__x0430__x043d__x0438__x044f___x0434__x0435__x0439__x0441__x0442__x0432__x0438__x044f_" ma:index="41" nillable="true" ma:displayName="Дата_окончания_действия" ma:format="DateOnly" ma:internalName="_x0414__x0430__x0442__x0430___x043e__x043a__x043e__x043d__x0447__x0430__x043d__x0438__x044f___x0434__x0435__x0439__x0441__x0442__x0432__x0438__x044f_" ma:readOnly="true">
      <xsd:simpleType>
        <xsd:restriction base="dms:DateTime"/>
      </xsd:simpleType>
    </xsd:element>
    <xsd:element name="_x0414__x0430__x0442__x0430___x043e__x043a__x043e__x043d__x0447__x0430__x043d__x0438__x044f___x0434__x0435__x0439__x0441__x0442__x0432__x0438__x044f_1" ma:index="42" nillable="true" ma:displayName="Дата_окончания_действия1" ma:format="DateOnly" ma:internalName="_x0414__x0430__x0442__x0430___x043e__x043a__x043e__x043d__x0447__x0430__x043d__x0438__x044f___x0434__x0435__x0439__x0441__x0442__x0432__x0438__x044f_1" ma:readOnly="true">
      <xsd:simpleType>
        <xsd:restriction base="dms:DateTime"/>
      </xsd:simpleType>
    </xsd:element>
    <xsd:element name="_x042e__x0440__x0438__x0434__x0438__x0447__x0435__x0441__x043a__x043e__x0435___x043d__x0430__x0438__x043c__x0435__x043d__x043e__x0432__x0430__x043d__x0438__x0435_" ma:index="43" nillable="true" ma:displayName="Юридическое_наименование" ma:internalName="_x042e__x0440__x0438__x0434__x0438__x0447__x0435__x0441__x043a__x043e__x0435___x043d__x0430__x0438__x043c__x0435__x043d__x043e__x0432__x0430__x043d__x0438__x0435_" ma:readOnly="true">
      <xsd:simpleType>
        <xsd:restriction base="dms:Text"/>
      </xsd:simpleType>
    </xsd:element>
    <xsd:element name="_x0421__x0442__x0440__x0430__x043d__x0430___x044e__x0440_" ma:index="44" nillable="true" ma:displayName="Страна_юр" ma:internalName="_x0421__x0442__x0440__x0430__x043d__x0430___x044e__x0440_" ma:readOnly="true">
      <xsd:simpleType>
        <xsd:restriction base="dms:Text"/>
      </xsd:simpleType>
    </xsd:element>
    <xsd:element name="_x0418__x043d__x0434__x0435__x043a__x0441___x044e__x0440_" ma:index="45" nillable="true" ma:displayName="Индекс_юр" ma:internalName="_x0418__x043d__x0434__x0435__x043a__x0441___x044e__x0440_" ma:readOnly="true">
      <xsd:simpleType>
        <xsd:restriction base="dms:Text"/>
      </xsd:simpleType>
    </xsd:element>
    <xsd:element name="_x0413__x043e__x0440__x043e__x0434___x044e__x0440_" ma:index="46" nillable="true" ma:displayName="Город_юр" ma:internalName="_x0413__x043e__x0440__x043e__x0434___x044e__x0440_" ma:readOnly="true">
      <xsd:simpleType>
        <xsd:restriction base="dms:Text"/>
      </xsd:simpleType>
    </xsd:element>
    <xsd:element name="_x0410__x0434__x0440__x0435__x0441___x044e__x0440_" ma:index="47" nillable="true" ma:displayName="Адрес_юр" ma:internalName="_x0410__x0434__x0440__x0435__x0441___x044e__x0440_" ma:readOnly="true">
      <xsd:simpleType>
        <xsd:restriction base="dms:Text"/>
      </xsd:simpleType>
    </xsd:element>
    <xsd:element name="_x0421__x0442__x0440__x0430__x043d__x0430___x0444__x0430__x043a__x0442_" ma:index="48" nillable="true" ma:displayName="Страна_факт" ma:internalName="_x0421__x0442__x0440__x0430__x043d__x0430___x0444__x0430__x043a__x0442_" ma:readOnly="true">
      <xsd:simpleType>
        <xsd:restriction base="dms:Text"/>
      </xsd:simpleType>
    </xsd:element>
    <xsd:element name="_x0418__x043d__x0434__x0435__x043a__x0441___x0444__x0430__x043a__x0442_" ma:index="49" nillable="true" ma:displayName="Индекс_факт" ma:internalName="_x0418__x043d__x0434__x0435__x043a__x0441___x0444__x0430__x043a__x0442_" ma:readOnly="true">
      <xsd:simpleType>
        <xsd:restriction base="dms:Text"/>
      </xsd:simpleType>
    </xsd:element>
    <xsd:element name="_x0413__x043e__x0440__x043e__x0434___x0444__x0430__x043a__x0442_" ma:index="50" nillable="true" ma:displayName="Город_факт" ma:internalName="_x0413__x043e__x0440__x043e__x0434___x0444__x0430__x043a__x0442_" ma:readOnly="true">
      <xsd:simpleType>
        <xsd:restriction base="dms:Text"/>
      </xsd:simpleType>
    </xsd:element>
    <xsd:element name="_x0410__x0434__x0440__x0435__x0441___x0444__x0430__x043a__x0442_" ma:index="51" nillable="true" ma:displayName="Адрес_факт" ma:internalName="_x0410__x0434__x0440__x0435__x0441___x0444__x0430__x043a__x0442_" ma:readOnly="true">
      <xsd:simpleType>
        <xsd:restriction base="dms:Text"/>
      </xsd:simpleType>
    </xsd:element>
    <xsd:element name="_x0442__x0435__x043b__x0435__x0444__x043e__x043d___x0444__x0430__x043a__x0441_" ma:index="52" nillable="true" ma:displayName="телефон_факс" ma:internalName="_x0442__x0435__x043b__x0435__x0444__x043e__x043d___x0444__x0430__x043a__x0441_" ma:readOnly="true">
      <xsd:simpleType>
        <xsd:restriction base="dms:Text"/>
      </xsd:simpleType>
    </xsd:element>
    <xsd:element name="E_x0020_Mail" ma:index="53" nillable="true" ma:displayName="E Mail" ma:internalName="E_x0020_Mail" ma:readOnly="true">
      <xsd:simpleType>
        <xsd:restriction base="dms:Text"/>
      </xsd:simpleType>
    </xsd:element>
    <xsd:element name="_x0411__x0430__x043d__x043a_" ma:index="54" nillable="true" ma:displayName="Банк" ma:internalName="_x0411__x0430__x043d__x043a_" ma:readOnly="true">
      <xsd:simpleType>
        <xsd:restriction base="dms:Text"/>
      </xsd:simpleType>
    </xsd:element>
    <xsd:element name="IBAN" ma:index="55" nillable="true" ma:displayName="IBAN" ma:internalName="IBAN" ma:readOnly="true">
      <xsd:simpleType>
        <xsd:restriction base="dms:Text"/>
      </xsd:simpleType>
    </xsd:element>
    <xsd:element name="_x0411__x0418__x041a_" ma:index="56" nillable="true" ma:displayName="БИК" ma:internalName="_x0411__x0418__x041a_" ma:readOnly="true">
      <xsd:simpleType>
        <xsd:restriction base="dms:Text"/>
      </xsd:simpleType>
    </xsd:element>
    <xsd:element name="_x0411__x0418__x041d_" ma:index="57" nillable="true" ma:displayName="БИН" ma:internalName="_x0411__x0418__x041d_" ma:readOnly="true">
      <xsd:simpleType>
        <xsd:restriction base="dms:Text"/>
      </xsd:simpleType>
    </xsd:element>
    <xsd:element name="_x041a__x0411__x0415_" ma:index="58" nillable="true" ma:displayName="КБЕ" ma:internalName="_x041a__x0411__x0415_" ma:readOnly="true">
      <xsd:simpleType>
        <xsd:restriction base="dms:Text"/>
      </xsd:simpleType>
    </xsd:element>
    <xsd:element name="_x0410__x043a__x0442__x0438__x0432__x043d__x043e__x0441__x0442__x044c_" ma:index="59" nillable="true" ma:displayName="Активность" ma:internalName="_x0410__x043a__x0442__x0438__x0432__x043d__x043e__x0441__x0442__x044c_">
      <xsd:simpleType>
        <xsd:restriction base="dms:Text">
          <xsd:maxLength value="255"/>
        </xsd:restriction>
      </xsd:simpleType>
    </xsd:element>
    <xsd:element name="_x041f__x0430__x0440__x043e__x043b__x044c_" ma:index="60" nillable="true" ma:displayName="Пароль" ma:internalName="_x041f__x0430__x0440__x043e__x043b__x044c_" ma:readOnly="true">
      <xsd:simpleType>
        <xsd:restriction base="dms:Text"/>
      </xsd:simpleType>
    </xsd:element>
    <xsd:element name="_x041a__x043e__x043d__x0442__x0430__x043a__x0442__x043d__x044b__x0439___x0430__x0431__x043e__x043d__x0435__x043d__x0442__x0441__x043a__x0438__x0439___x043d__x043e__x043c__x0435__x0440_" ma:index="61" nillable="true" ma:displayName="Контактный_абонентский_номер" ma:internalName="_x041a__x043e__x043d__x0442__x0430__x043a__x0442__x043d__x044b__x0439___x0430__x0431__x043e__x043d__x0435__x043d__x0442__x0441__x043a__x0438__x0439___x043d__x043e__x043c__x0435__x0440_" ma:readOnly="true">
      <xsd:simpleType>
        <xsd:restriction base="dms:Text"/>
      </xsd:simpleType>
    </xsd:element>
    <xsd:element name="_x042d__x043b__x0435__x043a__x0442__x0440__x043e__x043d__x043d__x044b__x0439___x0430__x0434__x0440__x0435__x0441_" ma:index="62" nillable="true" ma:displayName="Электронный_адрес" ma:internalName="_x042d__x043b__x0435__x043a__x0442__x0440__x043e__x043d__x043d__x044b__x0439___x0430__x0434__x0440__x0435__x0441_" ma:readOnly="true">
      <xsd:simpleType>
        <xsd:restriction base="dms:Text"/>
      </xsd:simpleType>
    </xsd:element>
    <xsd:element name="Test" ma:index="63" nillable="true" ma:displayName="Test" ma:internalName="Test">
      <xsd:simpleType>
        <xsd:restriction base="dms:Text">
          <xsd:maxLength value="255"/>
        </xsd:restriction>
      </xsd:simpleType>
    </xsd:element>
    <xsd:element name="Company_x0020_Link" ma:index="64" nillable="true" ma:displayName="Company Link" ma:internalName="Company_x0020_Link">
      <xsd:simpleType>
        <xsd:restriction base="dms:Text">
          <xsd:maxLength value="255"/>
        </xsd:restriction>
      </xsd:simpleType>
    </xsd:element>
    <xsd:element name="Update" ma:index="65" nillable="true" ma:displayName="Update" ma:internalName="Update">
      <xsd:simpleType>
        <xsd:restriction base="dms:Text">
          <xsd:maxLength value="255"/>
        </xsd:restriction>
      </xsd:simpleType>
    </xsd:element>
    <xsd:element name="Link" ma:index="6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x041f__x0438__x0441__x044c__x043c__x043e___x0441__x043e__x0433__x043b__x0430__x0441__x0438__x0435___x0441__x0442__x0430__x0442__x0443__x0441_" ma:index="67" nillable="true" ma:displayName="Письмо_согласие_статус" ma:internalName="_x041f__x0438__x0441__x044c__x043c__x043e___x0441__x043e__x0433__x043b__x0430__x0441__x0438__x0435___x0441__x0442__x0430__x0442__x0443__x0441_" ma:readOnly="true">
      <xsd:simpleType>
        <xsd:restriction base="dms:Boolean"/>
      </xsd:simpleType>
    </xsd:element>
    <xsd:element name="_x041f__x0438__x0441__x044c__x043c__x043e___x0441__x043e__x0433__x043b__x0430__x0441__x0438__x0435__date" ma:index="68" nillable="true" ma:displayName="Письмо_согласие_date" ma:internalName="_x041f__x0438__x0441__x044c__x043c__x043e___x0441__x043e__x0433__x043b__x0430__x0441__x0438__x0435__date" ma:readOnly="true">
      <xsd:simpleType>
        <xsd:restriction base="dms:Text"/>
      </xsd:simpleType>
    </xsd:element>
    <xsd:element name="_x041f__x0438__x0441__x044c__x043c__x043e___x0441__x043e__x0433__x043b__x0430__x0441__x0438__x0435___x044e__x0437__x0435__x0440_" ma:index="69" nillable="true" ma:displayName="Письмо_согласие_юзер" ma:internalName="_x041f__x0438__x0441__x044c__x043c__x043e___x0441__x043e__x0433__x043b__x0430__x0441__x0438__x0435___x044e__x0437__x0435__x0440_" ma:readOnly="true">
      <xsd:simpleType>
        <xsd:restriction base="dms:Text"/>
      </xsd:simpleType>
    </xsd:element>
    <xsd:element name="_x041f__x0438__x0441__x044c__x043c__x043e___x0441__x043e__x0433__x043b__x0430__x0441__x0438__x0435___x043e__x0440__x0438__x0433__x0438__x043d__x0430__x043b_" ma:index="70" nillable="true" ma:displayName="Письмо_согласие_оригинал" ma:internalName="_x041f__x0438__x0441__x044c__x043c__x043e___x0441__x043e__x0433__x043b__x0430__x0441__x0438__x0435___x043e__x0440__x0438__x0433__x0438__x043d__x0430__x043b_" ma:readOnly="true">
      <xsd:simpleType>
        <xsd:restriction base="dms:Boolean"/>
      </xsd:simpleType>
    </xsd:element>
    <xsd:element name="_x041f__x0438__x0441__x044c__x043c__x043e___x0441__x043e__x0433__x043b__x0430__x0441__x0438__x0435___x043e__x0440__x0438__x0433__x0438__x043d__x0430__x043b___x0438__x0441__x0442__x043e__x0440__x0438__x044f_" ma:index="71" nillable="true" ma:displayName="Письмо_согласие_оригинал_история" ma:internalName="_x041f__x0438__x0441__x044c__x043c__x043e___x0441__x043e__x0433__x043b__x0430__x0441__x0438__x0435___x043e__x0440__x0438__x0433__x0438__x043d__x0430__x043b___x0438__x0441__x0442__x043e__x0440__x0438__x044f_" ma:readOnly="true">
      <xsd:simpleType>
        <xsd:restriction base="dms:Text"/>
      </xsd:simpleType>
    </xsd:element>
    <xsd:element name="_x0414__x043e__x0432__x0435__x0440__x0435__x043d__x043d__x043e__x0441__x0442__x044c___x043d__x0430__x043b__x0438__x0447__x0438__x0435___x043e__x0440__x0438__x0433__x0438__x043d__x0430__x043b__x0430_" ma:index="72" nillable="true" ma:displayName="Доверенность_наличие_оригинала" ma:internalName="_x0414__x043e__x0432__x0435__x0440__x0435__x043d__x043d__x043e__x0441__x0442__x044c___x043d__x0430__x043b__x0438__x0447__x0438__x0435___x043e__x0440__x0438__x0433__x0438__x043d__x0430__x043b__x0430_" ma:readOnly="true">
      <xsd:simpleType>
        <xsd:restriction base="dms:Boolean"/>
      </xsd:simpleType>
    </xsd:element>
    <xsd:element name="_x0424__x0418__x041e___x043f__x043e__x0432__x0435__x0440__x0435__x043d__x043d__x043e__x0433__x043e_" ma:index="73" nillable="true" ma:displayName="ФИО_поверенного" ma:internalName="_x0424__x0418__x041e___x043f__x043e__x0432__x0435__x0440__x0435__x043d__x043d__x043e__x0433__x043e_" ma:readOnly="true">
      <xsd:simpleType>
        <xsd:restriction base="dms:Text"/>
      </xsd:simpleType>
    </xsd:element>
    <xsd:element name="_x0412__x0435__x0440__x0438__x0444__x0438__x043a__x0430__x0446__x0438__x044f___x043d__x0430__x043b__x0438__x0447__x0438__x0435___x043e__x0440__x0438__x0433__x0438__x043d__x0430__x043b__x0430_" ma:index="74" nillable="true" ma:displayName="Верификация_наличие_оригинала" ma:internalName="_x0412__x0435__x0440__x0438__x0444__x0438__x043a__x0430__x0446__x0438__x044f___x043d__x0430__x043b__x0438__x0447__x0438__x0435___x043e__x0440__x0438__x0433__x0438__x043d__x0430__x043b__x0430_" ma:readOnly="true">
      <xsd:simpleType>
        <xsd:restriction base="dms:Boolean"/>
      </xsd:simpleType>
    </xsd:element>
    <xsd:element name="_x0412__x0435__x0440__x0438__x0444__x0438__x043a__x0430__x0446__x0438__x044f___x043d__x0430__x043b__x0438__x0447__x0438__x0435___x043e__x0440__x0438__x0433__x0438__x043d__x0430__x043b__x0430___x0438__x0441__x0442__x043e__x0440__x0438__x044f_" ma:index="75" nillable="true" ma:displayName="Верификация_наличие_оригинала_история" ma:internalName="_x0412__x0435__x0440__x0438__x0444__x0438__x043a__x0430__x0446__x0438__x044f___x043d__x0430__x043b__x0438__x0447__x0438__x0435___x043e__x0440__x0438__x0433__x0438__x043d__x0430__x043b__x0430___x0438__x0441__x0442__x043e__x0440__x0438__x044f_" ma:readOnly="true">
      <xsd:simpleType>
        <xsd:restriction base="dms:Text"/>
      </xsd:simpleType>
    </xsd:element>
    <xsd:element name="_x0414__x043e__x0432__x0435__x0440__x0435__x043d__x043d__x043e__x0441__x0442__x044c___x043d__x0430__x043b__x0438__x0447__x0438__x0435___x043e__x0440__x0438__x0433__x0438__x043d__x0430__x043b__x0430___x0438__x0441__x0442__x043e__x0440__x0438__x044f_" ma:index="76" nillable="true" ma:displayName="Доверенность_наличие_оригинала_история" ma:internalName="_x0414__x043e__x0432__x0435__x0440__x0435__x043d__x043d__x043e__x0441__x0442__x044c___x043d__x0430__x043b__x0438__x0447__x0438__x0435___x043e__x0440__x0438__x0433__x0438__x043d__x0430__x043b__x0430___x0438__x0441__x0442__x043e__x0440__x0438__x044f_" ma:readOnly="true">
      <xsd:simpleType>
        <xsd:restriction base="dms:Text"/>
      </xsd:simpleType>
    </xsd:element>
    <xsd:element name="_x041f__x0430__x0440__x043e__x043b__x044c__2" ma:index="77" nillable="true" ma:displayName="Пароль_2" ma:internalName="_x041f__x0430__x0440__x043e__x043b__x044c__2" ma:readOnly="true">
      <xsd:simpleType>
        <xsd:restriction base="dms:Text"/>
      </xsd:simpleType>
    </xsd:element>
    <xsd:element name="_x041f__x0430__x0440__x043e__x043b__x044c___x0438__x0441__x0442__x043e__x0440__x0438__x044f__2" ma:index="78" nillable="true" ma:displayName="Пароль_история_2" ma:internalName="_x041f__x0430__x0440__x043e__x043b__x044c___x0438__x0441__x0442__x043e__x0440__x0438__x044f__2" ma:readOnly="true">
      <xsd:simpleType>
        <xsd:restriction base="dms:Text"/>
      </xsd:simpleType>
    </xsd:element>
    <xsd:element name="_x041a__x043e__x043d__x0442__x0430__x043a__x0442__x043d__x044b__x0439___x0430__x0431__x043e__x043d__x0435__x043d__x0442__x0441__x043a__x0438__x0439___x043d__x043e__x043c__x0435__x0440__2" ma:index="79" nillable="true" ma:displayName="Контактный_абонентский_номер_2" ma:internalName="_x041a__x043e__x043d__x0442__x0430__x043a__x0442__x043d__x044b__x0439___x0430__x0431__x043e__x043d__x0435__x043d__x0442__x0441__x043a__x0438__x0439___x043d__x043e__x043c__x0435__x0440__2" ma:readOnly="true">
      <xsd:simpleType>
        <xsd:restriction base="dms:Text"/>
      </xsd:simpleType>
    </xsd:element>
    <xsd:element name="_x042d__x043b__x0435__x043a__x0442__x0440__x043e__x043d__x043d__x044b__x0439___x0430__x0434__x0440__x0435__x0441__2" ma:index="80" nillable="true" ma:displayName="Электронный_адрес_2" ma:internalName="_x042d__x043b__x0435__x043a__x0442__x0440__x043e__x043d__x043d__x044b__x0439___x0430__x0434__x0440__x0435__x0441__2" ma:readOnly="true">
      <xsd:simpleType>
        <xsd:restriction base="dms:Text"/>
      </xsd:simpleType>
    </xsd:element>
    <xsd:element name="_x0412__x0435__x0440__x0438__x0444__x0438__x043a__x0430__x0446__x0438__x044f___x043d__x0430__x043b__x0438__x0447__x0438__x0435___x043e__x0440__x0438__x0433__x0438__x043d__x0430__x043b__x0430__2" ma:index="81" nillable="true" ma:displayName="Верификация_наличие_оригинала_2" ma:internalName="_x0412__x0435__x0440__x0438__x0444__x0438__x043a__x0430__x0446__x0438__x044f___x043d__x0430__x043b__x0438__x0447__x0438__x0435___x043e__x0440__x0438__x0433__x0438__x043d__x0430__x043b__x0430__2" ma:readOnly="true">
      <xsd:simpleType>
        <xsd:restriction base="dms:Boolean"/>
      </xsd:simpleType>
    </xsd:element>
    <xsd:element name="_x0412__x0435__x0440__x0438__x0444__x0438__x043a__x0430__x0446__x0438__x044f___x043d__x0430__x043b__x0438__x0447__x0438__x0435___x043e__x0440__x0438__x0433__x0438__x043d__x0430__x043b__x0430___x0438__x0441__x0442__x043e__x0440__x0438__x044f__2" ma:index="82" nillable="true" ma:displayName="Верификация_наличие_оригинала_история_2" ma:internalName="_x0412__x0435__x0440__x0438__x0444__x0438__x043a__x0430__x0446__x0438__x044f___x043d__x0430__x043b__x0438__x0447__x0438__x0435___x043e__x0440__x0438__x0433__x0438__x043d__x0430__x043b__x0430___x0438__x0441__x0442__x043e__x0440__x0438__x044f__2" ma:readOnly="true">
      <xsd:simpleType>
        <xsd:restriction base="dms:Text"/>
      </xsd:simpleType>
    </xsd:element>
    <xsd:element name="Email__x0443__x0434_" ma:index="83" nillable="true" ma:displayName="Email_уд" ma:internalName="Email__x0443__x0434_" ma:readOnly="true">
      <xsd:simpleType>
        <xsd:restriction base="dms:Note">
          <xsd:maxLength value="255"/>
        </xsd:restriction>
      </xsd:simpleType>
    </xsd:element>
    <xsd:element name="_x0422__x0435__x0441__x0442___x043f__x0430__x0440__x043e__x043b__x044f_" ma:index="84" nillable="true" ma:displayName="Тест_пароля" ma:internalName="_x0422__x0435__x0441__x0442___x043f__x0430__x0440__x043e__x043b__x044f_" ma:readOnly="true">
      <xsd:simpleType>
        <xsd:restriction base="dms:Note">
          <xsd:maxLength value="255"/>
        </xsd:restriction>
      </xsd:simpleType>
    </xsd:element>
    <xsd:element name="_x0422__x0438__x043f___x0434__x043e__x0432__x0435__x0440__x0435__x043d__x043d__x043e__x0441__x0442__x0438_" ma:index="85" nillable="true" ma:displayName="Тип_доверенности" ma:internalName="_x0422__x0438__x043f___x0434__x043e__x0432__x0435__x0440__x0435__x043d__x043d__x043e__x0441__x0442__x0438_" ma:readOnly="true">
      <xsd:simpleType>
        <xsd:restriction base="dms:Note">
          <xsd:maxLength value="255"/>
        </xsd:restriction>
      </xsd:simpleType>
    </xsd:element>
    <xsd:element name="_x0422__x0438__x043f___x0434__x043e__x043a__x0443__x043c__x0435__x043d__x0442__x0430_" ma:index="86" nillable="true" ma:displayName="Тип_документа" ma:internalName="_x0422__x0438__x043f___x0434__x043e__x043a__x0443__x043c__x0435__x043d__x0442__x0430_" ma:readOnly="true">
      <xsd:simpleType>
        <xsd:restriction base="dms:Note">
          <xsd:maxLength value="255"/>
        </xsd:restriction>
      </xsd:simpleType>
    </xsd:element>
    <xsd:element name="_x041a__x043e__x043d__x0442__x0430__x043a__x0442__x043d__x044b__x0439___x043d__x043e__x043c__x0435__x0440_" ma:index="87" nillable="true" ma:displayName="Контактный_номер" ma:internalName="_x041a__x043e__x043d__x0442__x0430__x043a__x0442__x043d__x044b__x0439___x043d__x043e__x043c__x0435__x0440_" ma:readOnly="true">
      <xsd:simpleType>
        <xsd:restriction base="dms:Note">
          <xsd:maxLength value="255"/>
        </xsd:restriction>
      </xsd:simpleType>
    </xsd:element>
    <xsd:element name="User" ma:index="88" nillable="true" ma:displayName="User" ma:list="UserInfo" ma:SharePointGroup="0" ma:internalName="Us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Link xmlns="34351eb4-5e07-4c99-b842-6b98263d0705">
      <Url xsi:nil="true"/>
      <Description xsi:nil="true"/>
    </Link>
    <Update xmlns="34351eb4-5e07-4c99-b842-6b98263d0705" xsi:nil="true"/>
    <ShowRepairView xmlns="http://schemas.microsoft.com/sharepoint/v3" xsi:nil="true"/>
    <_x0410__x043a__x0442__x0438__x0432__x043d__x043e__x0441__x0442__x044c_ xmlns="34351eb4-5e07-4c99-b842-6b98263d0705" xsi:nil="true"/>
    <ShowCombineView xmlns="http://schemas.microsoft.com/sharepoint/v3" xsi:nil="true"/>
    <xd_ProgID xmlns="http://schemas.microsoft.com/sharepoint/v3" xsi:nil="true"/>
    <Company_x0020_Link xmlns="34351eb4-5e07-4c99-b842-6b98263d0705" xsi:nil="true"/>
    <User xmlns="34351eb4-5e07-4c99-b842-6b98263d0705">
      <UserInfo>
        <DisplayName/>
        <AccountId xsi:nil="true"/>
        <AccountType/>
      </UserInfo>
    </User>
    <Test xmlns="34351eb4-5e07-4c99-b842-6b98263d0705" xsi:nil="true"/>
  </documentManagement>
</p:properties>
</file>

<file path=customXml/itemProps1.xml><?xml version="1.0" encoding="utf-8"?>
<ds:datastoreItem xmlns:ds="http://schemas.openxmlformats.org/officeDocument/2006/customXml" ds:itemID="{408F5920-A215-482D-A034-6E3848D9FF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351eb4-5e07-4c99-b842-6b98263d07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644EE5-12B6-4E5C-BD2F-15CDAD6FD7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36081C-3563-487B-AFDE-BDAD241B0214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sharepoint/v3"/>
    <ds:schemaRef ds:uri="34351eb4-5e07-4c99-b842-6b98263d07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Заявление__Teams_Телефония</vt:lpstr>
      <vt:lpstr>Sheet2</vt:lpstr>
      <vt:lpstr>Заявление__Teams_Телефония!Область_печати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Заявление на ВАТС 2025</dc:title>
  <dc:subject/>
  <dc:creator>Vladimir Kim</dc:creator>
  <dc:description/>
  <cp:lastModifiedBy>Alexandr Murdassov</cp:lastModifiedBy>
  <dcterms:created xsi:type="dcterms:W3CDTF">2016-01-20T04:20:43Z</dcterms:created>
  <dcterms:modified xsi:type="dcterms:W3CDTF">2025-12-02T06:53:34Z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0x010101005735C98F2F9FC74E9C48A2E5D7E53F63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2025-04-22T08:36:22Z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c6ba992e-3117-463f-b830-0deff046c49a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