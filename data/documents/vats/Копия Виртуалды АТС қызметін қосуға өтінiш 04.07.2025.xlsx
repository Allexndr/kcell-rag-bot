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Alexandr.Murdassov\Downloads\база данных документов\vats\"/>
    </mc:Choice>
  </mc:AlternateContent>
  <xr:revisionPtr revIDLastSave="0" documentId="8_{0A644F61-2ADB-42F7-AEDF-D5C23A48ADCB}" xr6:coauthVersionLast="47" xr6:coauthVersionMax="47" xr10:uidLastSave="{00000000-0000-0000-0000-000000000000}"/>
  <bookViews>
    <workbookView xWindow="-108" yWindow="-108" windowWidth="23256" windowHeight="12456" xr2:uid="{00000000-000D-0000-FFFF-FFFF00000000}"/>
  </bookViews>
  <sheets>
    <sheet name="Заявление_Виртуальная_АТС" sheetId="1" r:id="rId1"/>
    <sheet name="Лист1" sheetId="3" state="hidden" r:id="rId2"/>
    <sheet name="Sheet2" sheetId="2" r:id="rId3"/>
  </sheets>
  <definedNames>
    <definedName name="_xlnm.Print_Area" localSheetId="0">Заявление_Виртуальная_АТС!$C$1:$L$81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1" l="1"/>
  <c r="I40" i="1" l="1"/>
  <c r="I39" i="1"/>
  <c r="I38" i="1"/>
  <c r="I37" i="1"/>
  <c r="I36" i="1"/>
  <c r="I35" i="1"/>
  <c r="I34" i="1"/>
  <c r="I33" i="1"/>
  <c r="I32" i="1"/>
  <c r="I31" i="1"/>
  <c r="H56" i="1"/>
  <c r="H55" i="1"/>
  <c r="H54" i="1"/>
  <c r="H53" i="1"/>
  <c r="H51" i="1"/>
  <c r="H50" i="1"/>
  <c r="D41" i="1"/>
  <c r="H25" i="1"/>
  <c r="I45" i="1" s="1"/>
  <c r="H24" i="1"/>
  <c r="H23" i="1"/>
  <c r="H22" i="1"/>
  <c r="J5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Dina Shigenova</author>
  </authors>
  <commentList>
    <comment ref="H59" authorId="0" shapeId="0" xr:uid="{00000000-0006-0000-0000-000001000000}">
      <text>
        <r>
          <rPr>
            <sz val="9"/>
            <color rgb="FF000000"/>
            <rFont val="Tahoma"/>
            <family val="2"/>
          </rPr>
          <t>В сумму не включены платежи за исходящие звонки сверх пакета и единовременный платеж за запись аудиоролика</t>
        </r>
        <r>
          <rPr>
            <sz val="9"/>
            <color rgb="FF000000"/>
            <rFont val="Tahoma"/>
            <family val="2"/>
          </rPr>
          <t xml:space="preserve">
</t>
        </r>
      </text>
    </comment>
  </commentList>
</comments>
</file>

<file path=xl/sharedStrings.xml><?xml version="1.0" encoding="utf-8"?>
<sst xmlns="http://schemas.openxmlformats.org/spreadsheetml/2006/main" count="182" uniqueCount="132">
  <si>
    <t>минут</t>
  </si>
  <si>
    <t>1 сек</t>
  </si>
  <si>
    <t>(телефон)</t>
  </si>
  <si>
    <t>(e-mail)</t>
  </si>
  <si>
    <t>.vpbx.kcell.kz</t>
  </si>
  <si>
    <t>IBAN:</t>
  </si>
  <si>
    <t>SWIFT:</t>
  </si>
  <si>
    <t>Кбе:</t>
  </si>
  <si>
    <t>Компания</t>
  </si>
  <si>
    <t>Подключение</t>
  </si>
  <si>
    <t>АП</t>
  </si>
  <si>
    <t>virtual numbers</t>
  </si>
  <si>
    <t>extension</t>
  </si>
  <si>
    <t>Пакет 5</t>
  </si>
  <si>
    <t>Пакет 15</t>
  </si>
  <si>
    <t>Пакет 30</t>
  </si>
  <si>
    <t>Пакет 50</t>
  </si>
  <si>
    <t>Пакет 80</t>
  </si>
  <si>
    <t>Пакет 150</t>
  </si>
  <si>
    <t>Пакет 200</t>
  </si>
  <si>
    <t>Модуль «Инструменты для отделов продаж»</t>
  </si>
  <si>
    <t>При подключении допуслуги "Контроль качетсва", Абонент руководствуется инструкциями, указанными в личном кабинете. При этом, произведенная Абонентом запись разговора хранится не более 6 месяцев с даты записи. Абонент самостоятельно, используя настройки допуслуги осуществляет уведомление абонентов о производимой записи разговоров и несет за это ответственность в соответствии с действующим законодательством РК. При этом Оператор не несет ответственность за передачу/доступ третьих лиц к записям разговоров.</t>
  </si>
  <si>
    <t>Модуль «Интеграция с CRM»</t>
  </si>
  <si>
    <t xml:space="preserve"> </t>
  </si>
  <si>
    <t>Модуль «Аналитика»</t>
  </si>
  <si>
    <t>Модуль «Подключение физической АТС»</t>
  </si>
  <si>
    <t>Запись IVR на одном языке</t>
  </si>
  <si>
    <t>Модуль "SIP регистрация"</t>
  </si>
  <si>
    <t>Модуль "FMC"</t>
  </si>
  <si>
    <t xml:space="preserve">К дополнительной услуге "FMC" подключаются только SIM карты корпоративной группы Кселл. При этом, списание Абонентской Платы происходит согласно условиям тарифного плана на SIM карте Абонента.  Для осуществления звонков по короткой нумерации внутри домена Виртуальной АТС, необходимо использовать префикс ** перед номером, за звонки, совершенные иным способ, Оператор ответственности не несет и не гарантирует корректность тарификации по ним.  Дополнительная услуга FMC несовместима с услугой FreePhone (Бесплатный вызов) в связи с техническими ограничениями. С условиями оказания дополнительной услуги ознакомлены и согласны, включая, но, не ограничиваясь: услуга доступна при наличии на балансе средств, достаточных для оплаты услуг связи (при авансовом порядке расчетов) и в пределах кредитного лимита (при кредитном порядке расчетов).
</t>
  </si>
  <si>
    <t>MIN</t>
  </si>
  <si>
    <t>CUG</t>
  </si>
  <si>
    <t>ONNET</t>
  </si>
  <si>
    <t>OFFNET</t>
  </si>
  <si>
    <t>PSTN</t>
  </si>
  <si>
    <t>Виртуальный 5</t>
  </si>
  <si>
    <t>*В абонентскую плату включена стоимость ежемесячного пакета минут для звонков на номера всех сотовых операторов по Казахстану, кроме звонков внутри виртуальной АТС и внутри корпоративной группы. При подключении любого из тарифных планов абонентская плата списывается пропорционально количеству дней, оставшихся до конца календарного месяца, включая день подключения и затем каждое 1-ое число месяца в полном размере. При списании абонентской платы включенный бонусный пакет минут по тарифным планам будет предоставлен в полном объеме. Тарифы указаны в тенге с учетом НДС
** минуты в пакете действуют в течение календарного месяца и на следующий месяц не переносятся.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t>
  </si>
  <si>
    <t>Виртуальный 10</t>
  </si>
  <si>
    <t>Виртуальный 30</t>
  </si>
  <si>
    <t>Виртуальный 50</t>
  </si>
  <si>
    <t>Виртуальный 150</t>
  </si>
  <si>
    <t>Виртуальный 200</t>
  </si>
  <si>
    <t>Виртуальный 600</t>
  </si>
  <si>
    <t>Виртуальный 700</t>
  </si>
  <si>
    <t>Виртуальный 1 MLN</t>
  </si>
  <si>
    <t>Открыть</t>
  </si>
  <si>
    <t>Закрыть</t>
  </si>
  <si>
    <t>Модуль «Оценка качества обслуживания»</t>
  </si>
  <si>
    <t>Модуль «Номер в очереди»</t>
  </si>
  <si>
    <t>Модуль «Онлайн прослушивание и суфлирование»</t>
  </si>
  <si>
    <t>Модуль «Комнаты конференций»</t>
  </si>
  <si>
    <t>Модуль «Автообзвон»</t>
  </si>
  <si>
    <t>Осы хат Сіздің компанияңыздың фирмалық бланкіcінде орындалуы тиіс</t>
  </si>
  <si>
    <t xml:space="preserve">Шығ.№ </t>
  </si>
  <si>
    <t>(көрсетіңіз)</t>
  </si>
  <si>
    <t xml:space="preserve">Күні </t>
  </si>
  <si>
    <t xml:space="preserve">Бизнес нарықты дамыту департаментінің директоры
Д.Т.Касымова ханымға  </t>
  </si>
  <si>
    <t xml:space="preserve">«Виртуалды АТС» қызметін қосуға </t>
  </si>
  <si>
    <t>ӨТІНІШ</t>
  </si>
  <si>
    <t xml:space="preserve">Осымен, </t>
  </si>
  <si>
    <t>(бұдан әрі - Компания) Сізден мынадай параметрлермен қоңыраулар</t>
  </si>
  <si>
    <t xml:space="preserve">             жасау және қабылдау үшін «Виртуалды АТС» қызметін (бұдан әрі - Қызмет) қосуды сұрайды:</t>
  </si>
  <si>
    <t>Қызмет Конфигурациясы</t>
  </si>
  <si>
    <t>Қосу құны</t>
  </si>
  <si>
    <t>Қызмет үшін ай сайынғы төлем, айына*</t>
  </si>
  <si>
    <t>- Виртуалды нөмір қосылған</t>
  </si>
  <si>
    <t>- Пайдаланушы (ішкі нөмір) қосылған**</t>
  </si>
  <si>
    <t>қосымша Виртуалды нөмірлердің саны</t>
  </si>
  <si>
    <t>Қосымша Пайдаланушылар саны</t>
  </si>
  <si>
    <t>теңге</t>
  </si>
  <si>
    <t>дана</t>
  </si>
  <si>
    <t>адам</t>
  </si>
  <si>
    <t>*Қызмет қосылған айдағы Қызметтің абоненттік төлемін Компания, қосу күнін қоса алғанда, күнтізбелік айдың соңына дейін қалған күндер санына барабар мөлшерде, содан соң әрбір айдың 1-ші күнінде толық мөлшерде есептейді. Бағалар теңгемен, ҚҚС есебімен көрсетілген
**Сессиялардың жалпы саны бір Пайдаланушыға 2 сессия (қатарласа жүретін қоңырау) есебінен беріледі</t>
  </si>
  <si>
    <t>Қосымша қызметтер</t>
  </si>
  <si>
    <t>«Статистика» модулі, ай сайын</t>
  </si>
  <si>
    <t>«Сапаны бақылау» модулі, ай сайын</t>
  </si>
  <si>
    <t>«CRM-мен интеграция» модулі, ай сайын</t>
  </si>
  <si>
    <t>«SIP-тіркеу» модулі, ай сайын</t>
  </si>
  <si>
    <t>«Сайттан кері қоңырауға тапсырыс беру» модулі, ай сайын</t>
  </si>
  <si>
    <r>
      <rPr>
        <b/>
        <sz val="8"/>
        <color rgb="FF000000"/>
        <rFont val="Arial"/>
        <family val="2"/>
      </rPr>
      <t>Тарифтік жоспар</t>
    </r>
    <r>
      <rPr>
        <sz val="8"/>
        <color rgb="FF000000"/>
        <rFont val="Arial"/>
        <family val="2"/>
      </rPr>
      <t xml:space="preserve"> </t>
    </r>
  </si>
  <si>
    <t>Ай сайынғы абоненттік төлем*</t>
  </si>
  <si>
    <t>Қазақстан бойынша барлық мобильді операторлардың нөмірлеріне қоңырау шалуға арналған ай сайынғы минуттар топтамасы**</t>
  </si>
  <si>
    <t>Минуттар топтамасынан тыс шығыс қоңыраулары:</t>
  </si>
  <si>
    <t xml:space="preserve">Виртуалды АТС ішінде (ішкі нөмірлерге) және корпоративтік топ ішінде, минутына
</t>
  </si>
  <si>
    <t>Kcell, Activ желісі ішінде, минутына</t>
  </si>
  <si>
    <t>ҚР басқа ұялы операторларына, минутына</t>
  </si>
  <si>
    <t>ҚР қалалық нөмірлеріне, минутына</t>
  </si>
  <si>
    <t>Халықаралық бағыттарға қол жетуізу</t>
  </si>
  <si>
    <t xml:space="preserve">Құны, теңге, ҚҚС-пен </t>
  </si>
  <si>
    <t>Тарифтеу қадамы</t>
  </si>
  <si>
    <t>«Шекарасыз қоңыраулар» өтініші бойынша</t>
  </si>
  <si>
    <t>* Абоненттік төлемге виртуалды АТС ішіндегі және корпоративтік топ ішіндегі қоңыраулардан басқа, Қазақстан бойынша барлық ұялы операторлардың нөмірлеріне қоңырау шалуға ай сайынғы минуттар топтамасының құны қосылған. Тарифтік жоспарлардың кез келгенін қосқан кезде абоненттік төлем қосу күнін қоса алғанда күнтізбелік айдың соңына дейін қалған күндер санына барабар мөлшерде, содан соң әр айдың 1-ші күнінде толық мөлшерде алынады. Абоненттік төлем алынғанда тарифтік жоспарлар бойынша қамтылған бонустық минуттар көлемі толық көлемде беріледі. Тарифтер теңгемен, ҚҚС есебімен көрсетілген
**топтамадағы минуттар күнтізбелік ай ішінде жарамды және келесі айға ауыстырылмайды. Есептік айдағы минуттар топтамасы таусылған соң Қазақстан бойынша аталмыш бағыттардағы шығыс қоңыраулар Тарифтік жоспардың талаптарына сәйкес тарифтеледі.</t>
  </si>
  <si>
    <t>Барлығы, ай сайын</t>
  </si>
  <si>
    <t>сондай-ақ келісімшарттары төменде көрсетілген тұлғаның Қызмет әкімшісі ретінде тағайындалғанын және оның «Кселл» АҚ орнатқан Қызметті пайдалану шарттарын сақтай отырып, Компанияның атынан және мүддесі үшін веб-интерфейсте хабарлама алуға және Қызметті басқаруға уәкілетті екенін хабарлайды. Компания, сондай-ақ Қызмет әкімшісі әкімшінің Қызметке қол жеткізген сәтінен бастап Қызмет шеңберінде ұсынылатын қызметтік ақпараттың, сондай-ақ Қызметке қол жеткізуге арналған деректердің сақталуына толықтай дербес жауапты болады. 
Компания сондай-ақ әкімшінің Сервистік нөмірге қысқа мәтіндік хабарламаны жіберуі Компанияның Қызмет шеңберінде Компания, Жеке шоттар, қосылған қызметтер және Қызмет шеңберінде ұсынылатын өзге де ақпарат бойынша оған ақпарат беруге келісімін білдіретінімен, ал Қызмет шеңберінде әкімші жасайтын іс-әрекеттер заңнамаға сәйкес талап етілген жағдайларда Компанияның өтінішіне теңестірілетіндігімен келіседі.</t>
  </si>
  <si>
    <t>Әкімші</t>
  </si>
  <si>
    <t>(тегі, аты)</t>
  </si>
  <si>
    <t>Жеке кабинетке қол жеткізу үшін таңдалған домен</t>
  </si>
  <si>
    <t>(тек латын әріптерін және цифрларды көрсетіңіз)</t>
  </si>
  <si>
    <t>Компанияның деректемелері:</t>
  </si>
  <si>
    <t>Заңды атауы:</t>
  </si>
  <si>
    <t>(Мысал: “ABC" ЖШС)</t>
  </si>
  <si>
    <t>Заңды мекенжайы:</t>
  </si>
  <si>
    <t>(Мысалы: 050004 Алматы қ., Медеу ауданы, Әлімжанов к-сі, үй 51)</t>
  </si>
  <si>
    <t>БСН:</t>
  </si>
  <si>
    <t>(12 сан)</t>
  </si>
  <si>
    <t>(KZ және 18 сан)</t>
  </si>
  <si>
    <t>(8 әріп)</t>
  </si>
  <si>
    <t>(сан)</t>
  </si>
  <si>
    <t>Банк атауы:</t>
  </si>
  <si>
    <t>(Мысал: «Қазкоммерцбанк» АҚ, Алматы қаласы)</t>
  </si>
  <si>
    <t>ҚҚС бойынша есепке алу куәлігі:</t>
  </si>
  <si>
    <t>(егер ҚҚС куәлігі болса, көрсету)</t>
  </si>
  <si>
    <t>Актілерді жіберуге арналған мекенжай:</t>
  </si>
  <si>
    <t>(Қала, аудан, көше, үй нөмірі, кеңсе)</t>
  </si>
  <si>
    <t>Хат-хабарға жауапты:</t>
  </si>
  <si>
    <t xml:space="preserve">Басшының Т.А.Ә.: </t>
  </si>
  <si>
    <t>(ТАӘ)</t>
  </si>
  <si>
    <t>МО(түпнұсқа)</t>
  </si>
  <si>
    <t>(қолы)</t>
  </si>
  <si>
    <t>(Компания атауы)</t>
  </si>
  <si>
    <t>(тізімнен таңдаңыз)</t>
  </si>
  <si>
    <t>Қосылу</t>
  </si>
  <si>
    <t>Қосылмау</t>
  </si>
  <si>
    <t>«Кезектегi нөмір» модулі, ай сайын</t>
  </si>
  <si>
    <t>«Конференция бөлмелері» модулі, ай сайын</t>
  </si>
  <si>
    <t>Модуль «Онлайн тыңдау және Суфлирлеу» модулі, ай сайын</t>
  </si>
  <si>
    <t>«Қызмет көрсету сапасын бағалау» модулі, ай сайын</t>
  </si>
  <si>
    <t>«Авто қоңырау шалу » модулі, ай сайын</t>
  </si>
  <si>
    <t>Речевая аналитика</t>
  </si>
  <si>
    <t>"Сөйлеуді талдау" модулі сай сайын*</t>
  </si>
  <si>
    <t>"Сөйлеуді талдауды" падаланушылар үшін ай сайынғы төлем"*</t>
  </si>
  <si>
    <t>* Модульді қосқан кезде тегін пайдаланушыларды қоса алғанда, бұрын қосылған барлық пайдаланушылар ақылы негізге көшеді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</si>
</sst>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 &quot;* #,##0&quot; &quot;;&quot; &quot;* &quot;(&quot;#,##0&quot;)&quot;;&quot; &quot;* &quot;-&quot;#&quot; &quot;;&quot; &quot;@&quot; &quot;"/>
    <numFmt numFmtId="165" formatCode="&quot; &quot;* #,##0.00&quot; &quot;;&quot; &quot;* &quot;(&quot;#,##0.00&quot;)&quot;;&quot; &quot;* &quot;-&quot;#&quot; &quot;;&quot; &quot;@&quot; &quot;"/>
  </numFmts>
  <fonts count="19" x14ac:knownFonts="1">
    <font>
      <sz val="11"/>
      <color rgb="FF000000"/>
      <name val="Calibri"/>
      <family val="2"/>
    </font>
    <font>
      <sz val="11"/>
      <color rgb="FF000000"/>
      <name val="Calibri"/>
      <family val="2"/>
    </font>
    <font>
      <b/>
      <i/>
      <sz val="10"/>
      <color rgb="FF000000"/>
      <name val="Arial"/>
      <family val="2"/>
    </font>
    <font>
      <sz val="10"/>
      <color rgb="FF000000"/>
      <name val="Arial"/>
      <family val="2"/>
    </font>
    <font>
      <i/>
      <sz val="10"/>
      <color rgb="FF595959"/>
      <name val="Arial"/>
      <family val="2"/>
    </font>
    <font>
      <b/>
      <sz val="10"/>
      <color rgb="FF000000"/>
      <name val="Arial"/>
      <family val="2"/>
    </font>
    <font>
      <u/>
      <sz val="10"/>
      <color rgb="FF595959"/>
      <name val="Arial"/>
      <family val="2"/>
    </font>
    <font>
      <i/>
      <sz val="8"/>
      <color rgb="FF595959"/>
      <name val="Arial"/>
      <family val="2"/>
    </font>
    <font>
      <b/>
      <sz val="8"/>
      <color rgb="FF000000"/>
      <name val="Arial"/>
      <family val="2"/>
    </font>
    <font>
      <sz val="8"/>
      <color rgb="FF000000"/>
      <name val="Arial"/>
      <family val="2"/>
    </font>
    <font>
      <sz val="9"/>
      <color rgb="FF000000"/>
      <name val="Tahoma"/>
      <family val="2"/>
    </font>
    <font>
      <sz val="8"/>
      <color rgb="FF595959"/>
      <name val="Arial"/>
      <family val="2"/>
    </font>
    <font>
      <i/>
      <sz val="9"/>
      <color rgb="FF595959"/>
      <name val="Arial"/>
      <family val="2"/>
    </font>
    <font>
      <sz val="7"/>
      <color rgb="FF000000"/>
      <name val="Arial"/>
      <family val="2"/>
    </font>
    <font>
      <i/>
      <sz val="12"/>
      <color rgb="FF000000"/>
      <name val="Times New Roman"/>
      <family val="1"/>
    </font>
    <font>
      <i/>
      <sz val="11"/>
      <color rgb="FF595959"/>
      <name val="Calibri"/>
      <family val="2"/>
    </font>
    <font>
      <i/>
      <sz val="11"/>
      <color rgb="FF000000"/>
      <name val="Calibri"/>
      <family val="2"/>
    </font>
    <font>
      <sz val="11"/>
      <color rgb="FFFF0000"/>
      <name val="Calibri"/>
      <family val="2"/>
    </font>
    <font>
      <b/>
      <sz val="10"/>
      <color rgb="FF000000"/>
      <name val="Arial"/>
      <family val="2"/>
      <charset val="204"/>
    </font>
  </fonts>
  <fills count="5">
    <fill>
      <patternFill patternType="none"/>
    </fill>
    <fill>
      <patternFill patternType="gray125"/>
    </fill>
    <fill>
      <patternFill patternType="solid">
        <fgColor rgb="FFFFFFFF"/>
        <bgColor rgb="FFFFFFFF"/>
      </patternFill>
    </fill>
    <fill>
      <patternFill patternType="solid">
        <fgColor rgb="FFDCE6F1"/>
        <bgColor rgb="FFDCE6F1"/>
      </patternFill>
    </fill>
    <fill>
      <patternFill patternType="solid">
        <fgColor theme="0"/>
        <bgColor rgb="FFFFFFFF"/>
      </patternFill>
    </fill>
  </fills>
  <borders count="1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65" fontId="1" fillId="0" borderId="0" applyFont="0" applyFill="0" applyBorder="0" applyAlignment="0" applyProtection="0"/>
  </cellStyleXfs>
  <cellXfs count="99">
    <xf numFmtId="0" fontId="0" fillId="0" borderId="0" xfId="0"/>
    <xf numFmtId="0" fontId="3" fillId="2" borderId="0" xfId="0" applyFont="1" applyFill="1" applyAlignment="1" applyProtection="1">
      <alignment horizontal="center"/>
      <protection locked="0"/>
    </xf>
    <xf numFmtId="0" fontId="0" fillId="2" borderId="0" xfId="0" applyFill="1"/>
    <xf numFmtId="0" fontId="3" fillId="2" borderId="0" xfId="0" applyFont="1" applyFill="1" applyAlignment="1" applyProtection="1">
      <alignment horizontal="right" vertical="center"/>
      <protection locked="0"/>
    </xf>
    <xf numFmtId="0" fontId="3" fillId="2" borderId="0" xfId="0" applyFont="1" applyFill="1"/>
    <xf numFmtId="0" fontId="3" fillId="2" borderId="0" xfId="0" applyFont="1" applyFill="1" applyAlignment="1">
      <alignment horizontal="right" vertical="center"/>
    </xf>
    <xf numFmtId="0" fontId="3" fillId="2" borderId="0" xfId="0" applyFont="1" applyFill="1" applyAlignment="1">
      <alignment horizontal="center" wrapText="1"/>
    </xf>
    <xf numFmtId="0" fontId="3" fillId="2" borderId="0" xfId="0" applyFont="1" applyFill="1" applyAlignment="1">
      <alignment horizontal="left"/>
    </xf>
    <xf numFmtId="0" fontId="4" fillId="2" borderId="0" xfId="0" applyFont="1" applyFill="1" applyAlignment="1">
      <alignment horizontal="center"/>
    </xf>
    <xf numFmtId="0" fontId="4" fillId="2" borderId="0" xfId="0" applyFont="1" applyFill="1" applyAlignment="1" applyProtection="1">
      <alignment horizontal="center"/>
      <protection locked="0"/>
    </xf>
    <xf numFmtId="0" fontId="6" fillId="2" borderId="0" xfId="0" applyFont="1" applyFill="1" applyAlignment="1" applyProtection="1">
      <alignment horizontal="center"/>
      <protection locked="0"/>
    </xf>
    <xf numFmtId="0" fontId="6" fillId="2" borderId="0" xfId="0" applyFont="1" applyFill="1" applyAlignment="1">
      <alignment horizontal="center"/>
    </xf>
    <xf numFmtId="0" fontId="7" fillId="2" borderId="0" xfId="0" applyFont="1" applyFill="1" applyAlignment="1">
      <alignment horizontal="center"/>
    </xf>
    <xf numFmtId="0" fontId="8" fillId="2" borderId="1" xfId="0" applyFont="1" applyFill="1" applyBorder="1" applyAlignment="1">
      <alignment vertical="center" wrapText="1"/>
    </xf>
    <xf numFmtId="0" fontId="9" fillId="2" borderId="2" xfId="0" applyFont="1" applyFill="1" applyBorder="1" applyAlignment="1">
      <alignment horizontal="center" vertical="center"/>
    </xf>
    <xf numFmtId="0" fontId="9" fillId="2" borderId="0" xfId="0" applyFont="1" applyFill="1" applyAlignment="1">
      <alignment horizontal="left" wrapText="1"/>
    </xf>
    <xf numFmtId="0" fontId="9" fillId="2" borderId="0" xfId="0" applyFont="1" applyFill="1" applyAlignment="1">
      <alignment horizontal="left"/>
    </xf>
    <xf numFmtId="0" fontId="9" fillId="2" borderId="1" xfId="0" applyFont="1" applyFill="1" applyBorder="1" applyAlignment="1">
      <alignment horizontal="center"/>
    </xf>
    <xf numFmtId="0" fontId="7" fillId="3" borderId="2" xfId="0" applyFont="1" applyFill="1" applyBorder="1" applyAlignment="1" applyProtection="1">
      <alignment horizontal="center"/>
      <protection locked="0"/>
    </xf>
    <xf numFmtId="0" fontId="9" fillId="2" borderId="0" xfId="0" applyFont="1" applyFill="1" applyAlignment="1">
      <alignment wrapText="1"/>
    </xf>
    <xf numFmtId="0" fontId="9" fillId="2" borderId="0" xfId="0" applyFont="1" applyFill="1"/>
    <xf numFmtId="0" fontId="9" fillId="0" borderId="0" xfId="0" applyFont="1"/>
    <xf numFmtId="0" fontId="8" fillId="0" borderId="2" xfId="0" applyFont="1" applyBorder="1" applyAlignment="1">
      <alignment horizontal="center" vertical="center" wrapText="1"/>
    </xf>
    <xf numFmtId="0" fontId="3" fillId="0" borderId="0" xfId="0" applyFont="1"/>
    <xf numFmtId="0" fontId="9" fillId="2" borderId="2" xfId="0" applyFont="1" applyFill="1" applyBorder="1" applyAlignment="1">
      <alignment vertical="center"/>
    </xf>
    <xf numFmtId="0" fontId="3" fillId="2" borderId="0" xfId="0" applyFont="1" applyFill="1" applyAlignment="1">
      <alignment vertical="center"/>
    </xf>
    <xf numFmtId="1" fontId="9" fillId="2" borderId="2" xfId="0" applyNumberFormat="1" applyFont="1" applyFill="1" applyBorder="1" applyAlignment="1">
      <alignment horizontal="left"/>
    </xf>
    <xf numFmtId="0" fontId="3" fillId="2" borderId="0" xfId="0" applyFont="1" applyFill="1" applyAlignment="1">
      <alignment horizontal="right"/>
    </xf>
    <xf numFmtId="1" fontId="5" fillId="2" borderId="0" xfId="0" applyNumberFormat="1" applyFont="1" applyFill="1" applyAlignment="1">
      <alignment horizontal="center"/>
    </xf>
    <xf numFmtId="0" fontId="3" fillId="2" borderId="0" xfId="0" applyFont="1" applyFill="1" applyAlignment="1">
      <alignment horizontal="left" wrapText="1"/>
    </xf>
    <xf numFmtId="0" fontId="7" fillId="3" borderId="0" xfId="0" applyFont="1" applyFill="1" applyAlignment="1" applyProtection="1">
      <alignment horizontal="center" wrapText="1"/>
      <protection locked="0"/>
    </xf>
    <xf numFmtId="0" fontId="7" fillId="3" borderId="1" xfId="0" applyFont="1" applyFill="1" applyBorder="1" applyAlignment="1" applyProtection="1">
      <alignment horizontal="center"/>
      <protection locked="0"/>
    </xf>
    <xf numFmtId="0" fontId="7" fillId="3" borderId="4" xfId="0" applyFont="1" applyFill="1" applyBorder="1" applyAlignment="1" applyProtection="1">
      <alignment horizontal="center" wrapText="1"/>
      <protection locked="0"/>
    </xf>
    <xf numFmtId="0" fontId="11" fillId="3" borderId="4" xfId="0" applyFont="1" applyFill="1" applyBorder="1" applyAlignment="1" applyProtection="1">
      <alignment horizontal="center" wrapText="1"/>
      <protection locked="0"/>
    </xf>
    <xf numFmtId="0" fontId="13" fillId="2" borderId="0" xfId="0" applyFont="1" applyFill="1" applyAlignment="1">
      <alignment horizontal="left" wrapText="1"/>
    </xf>
    <xf numFmtId="0" fontId="13" fillId="2" borderId="0" xfId="0" applyFont="1" applyFill="1" applyAlignment="1">
      <alignment horizontal="left"/>
    </xf>
    <xf numFmtId="0" fontId="14" fillId="2" borderId="0" xfId="0" applyFont="1" applyFill="1" applyAlignment="1">
      <alignment horizontal="right"/>
    </xf>
    <xf numFmtId="0" fontId="0" fillId="2" borderId="0" xfId="0" applyFill="1" applyAlignment="1">
      <alignment horizontal="center"/>
    </xf>
    <xf numFmtId="0" fontId="0" fillId="0" borderId="0" xfId="0" applyAlignment="1">
      <alignment horizontal="center" vertical="center" wrapText="1"/>
    </xf>
    <xf numFmtId="0" fontId="16" fillId="0" borderId="0" xfId="0" applyFont="1" applyAlignment="1">
      <alignment vertical="center" wrapText="1"/>
    </xf>
    <xf numFmtId="0" fontId="0" fillId="0" borderId="0" xfId="0" applyAlignment="1">
      <alignment vertical="center" wrapText="1"/>
    </xf>
    <xf numFmtId="0" fontId="17" fillId="0" borderId="0" xfId="0" applyFont="1"/>
    <xf numFmtId="0" fontId="17" fillId="0" borderId="0" xfId="0" applyFont="1" applyAlignment="1">
      <alignment wrapText="1"/>
    </xf>
    <xf numFmtId="164" fontId="0" fillId="0" borderId="0" xfId="1" applyNumberFormat="1" applyFont="1" applyAlignment="1">
      <alignment vertical="center" wrapText="1"/>
    </xf>
    <xf numFmtId="0" fontId="16" fillId="0" borderId="0" xfId="0" applyFont="1"/>
    <xf numFmtId="0" fontId="8" fillId="2" borderId="0" xfId="0" applyFont="1" applyFill="1" applyAlignment="1">
      <alignment vertical="center"/>
    </xf>
    <xf numFmtId="0" fontId="9" fillId="2" borderId="2" xfId="0" applyFont="1" applyFill="1" applyBorder="1" applyAlignment="1">
      <alignment horizontal="left" vertical="center" wrapText="1"/>
    </xf>
    <xf numFmtId="1" fontId="9" fillId="2" borderId="2" xfId="0" applyNumberFormat="1" applyFont="1" applyFill="1" applyBorder="1" applyAlignment="1">
      <alignment horizontal="center" vertical="center"/>
    </xf>
    <xf numFmtId="0" fontId="2" fillId="2" borderId="0" xfId="0" applyFont="1" applyFill="1" applyAlignment="1" applyProtection="1">
      <alignment horizontal="center"/>
      <protection locked="0"/>
    </xf>
    <xf numFmtId="0" fontId="0" fillId="2" borderId="0" xfId="0" applyFill="1"/>
    <xf numFmtId="0" fontId="4" fillId="3" borderId="0" xfId="0" applyFont="1" applyFill="1" applyAlignment="1" applyProtection="1">
      <alignment horizontal="center" wrapText="1"/>
      <protection locked="0"/>
    </xf>
    <xf numFmtId="0" fontId="3" fillId="2" borderId="0" xfId="0" applyFont="1" applyFill="1" applyAlignment="1">
      <alignment horizontal="left" vertical="top" wrapText="1"/>
    </xf>
    <xf numFmtId="0" fontId="5" fillId="2" borderId="0" xfId="0" applyFont="1" applyFill="1" applyAlignment="1">
      <alignment horizontal="center"/>
    </xf>
    <xf numFmtId="0" fontId="18" fillId="2" borderId="0" xfId="0" applyFont="1" applyFill="1" applyAlignment="1">
      <alignment horizontal="center"/>
    </xf>
    <xf numFmtId="0" fontId="3" fillId="2" borderId="0" xfId="0" applyFont="1" applyFill="1" applyAlignment="1">
      <alignment horizontal="left"/>
    </xf>
    <xf numFmtId="0" fontId="8" fillId="2" borderId="1" xfId="0" applyFont="1" applyFill="1" applyBorder="1" applyAlignment="1">
      <alignment horizontal="right" wrapText="1"/>
    </xf>
    <xf numFmtId="0" fontId="7" fillId="3" borderId="1" xfId="0" applyFont="1" applyFill="1" applyBorder="1" applyAlignment="1" applyProtection="1">
      <alignment horizontal="center" vertical="center" wrapText="1"/>
      <protection locked="0"/>
    </xf>
    <xf numFmtId="0" fontId="0" fillId="2" borderId="1" xfId="0" applyFill="1" applyBorder="1"/>
    <xf numFmtId="0" fontId="9" fillId="2" borderId="2" xfId="0" applyFont="1" applyFill="1" applyBorder="1" applyAlignment="1">
      <alignment horizontal="left" vertical="center" wrapText="1" indent="1"/>
    </xf>
    <xf numFmtId="0" fontId="9" fillId="2" borderId="2" xfId="0" applyFont="1" applyFill="1" applyBorder="1" applyAlignment="1">
      <alignment horizontal="left" vertical="center" indent="1"/>
    </xf>
    <xf numFmtId="0" fontId="9" fillId="2" borderId="2" xfId="0" applyFont="1" applyFill="1" applyBorder="1" applyAlignment="1">
      <alignment horizontal="left" vertical="center"/>
    </xf>
    <xf numFmtId="0" fontId="0" fillId="3" borderId="2" xfId="0" applyFill="1" applyBorder="1" applyProtection="1">
      <protection locked="0"/>
    </xf>
    <xf numFmtId="0" fontId="9" fillId="2" borderId="0" xfId="0" applyFont="1" applyFill="1" applyAlignment="1">
      <alignment horizontal="left" wrapText="1"/>
    </xf>
    <xf numFmtId="0" fontId="8" fillId="2" borderId="0" xfId="0" applyFont="1" applyFill="1" applyAlignment="1">
      <alignment horizontal="right" vertical="center"/>
    </xf>
    <xf numFmtId="0" fontId="9" fillId="2" borderId="2" xfId="0" applyFont="1" applyFill="1" applyBorder="1" applyAlignment="1">
      <alignment horizontal="center" vertical="center"/>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9" fillId="2" borderId="2" xfId="0" applyFont="1" applyFill="1" applyBorder="1" applyAlignment="1">
      <alignment horizontal="left"/>
    </xf>
    <xf numFmtId="0" fontId="9" fillId="0" borderId="2" xfId="0" applyFont="1" applyBorder="1" applyAlignment="1">
      <alignment horizontal="center" wrapText="1"/>
    </xf>
    <xf numFmtId="0" fontId="9" fillId="2" borderId="2" xfId="0" applyFont="1" applyFill="1" applyBorder="1" applyAlignment="1">
      <alignment horizontal="left" wrapText="1"/>
    </xf>
    <xf numFmtId="0" fontId="9" fillId="0" borderId="2" xfId="0" applyFont="1" applyBorder="1" applyAlignment="1">
      <alignment horizontal="center" vertical="center" wrapText="1"/>
    </xf>
    <xf numFmtId="0" fontId="9" fillId="2" borderId="3" xfId="0" applyFont="1" applyFill="1" applyBorder="1" applyAlignment="1">
      <alignment horizontal="left" wrapText="1"/>
    </xf>
    <xf numFmtId="0" fontId="9" fillId="2" borderId="0" xfId="0" applyFont="1" applyFill="1" applyAlignment="1">
      <alignment horizontal="left" vertical="top" wrapText="1"/>
    </xf>
    <xf numFmtId="0" fontId="9" fillId="2" borderId="0" xfId="0" applyFont="1" applyFill="1" applyAlignment="1">
      <alignment horizontal="left"/>
    </xf>
    <xf numFmtId="0" fontId="7" fillId="3" borderId="0" xfId="0" applyFont="1" applyFill="1" applyAlignment="1" applyProtection="1">
      <alignment horizontal="center" wrapText="1"/>
      <protection locked="0"/>
    </xf>
    <xf numFmtId="0" fontId="11" fillId="3" borderId="0" xfId="0" applyFont="1" applyFill="1" applyAlignment="1" applyProtection="1">
      <alignment horizontal="center" wrapText="1"/>
      <protection locked="0"/>
    </xf>
    <xf numFmtId="0" fontId="7" fillId="3" borderId="0" xfId="0" applyFont="1" applyFill="1" applyAlignment="1" applyProtection="1">
      <alignment horizontal="center" vertical="center" wrapText="1"/>
      <protection locked="0"/>
    </xf>
    <xf numFmtId="0" fontId="7" fillId="0" borderId="2" xfId="0" applyFont="1" applyBorder="1" applyAlignment="1">
      <alignment horizontal="center" wrapText="1"/>
    </xf>
    <xf numFmtId="0" fontId="7" fillId="3" borderId="4" xfId="0" applyFont="1" applyFill="1" applyBorder="1" applyAlignment="1" applyProtection="1">
      <alignment horizontal="center" wrapText="1"/>
      <protection locked="0"/>
    </xf>
    <xf numFmtId="0" fontId="8" fillId="2" borderId="0" xfId="0" applyFont="1" applyFill="1" applyAlignment="1">
      <alignment horizontal="center"/>
    </xf>
    <xf numFmtId="0" fontId="7" fillId="3" borderId="1" xfId="0" applyFont="1" applyFill="1" applyBorder="1" applyAlignment="1" applyProtection="1">
      <alignment horizontal="left" wrapText="1"/>
      <protection locked="0"/>
    </xf>
    <xf numFmtId="0" fontId="7" fillId="3" borderId="4" xfId="0" applyFont="1" applyFill="1" applyBorder="1" applyAlignment="1" applyProtection="1">
      <alignment horizontal="left" wrapText="1"/>
      <protection locked="0"/>
    </xf>
    <xf numFmtId="49" fontId="12" fillId="3" borderId="1" xfId="0" applyNumberFormat="1" applyFont="1" applyFill="1" applyBorder="1" applyAlignment="1" applyProtection="1">
      <alignment horizontal="center"/>
      <protection locked="0"/>
    </xf>
    <xf numFmtId="0" fontId="7" fillId="3" borderId="4" xfId="0" applyFont="1" applyFill="1" applyBorder="1" applyAlignment="1" applyProtection="1">
      <alignment horizontal="center"/>
      <protection locked="0"/>
    </xf>
    <xf numFmtId="0" fontId="7" fillId="3" borderId="1" xfId="0" applyFont="1" applyFill="1" applyBorder="1" applyAlignment="1" applyProtection="1">
      <alignment horizontal="center" wrapText="1"/>
      <protection locked="0"/>
    </xf>
    <xf numFmtId="0" fontId="0" fillId="2" borderId="3" xfId="0" applyFill="1" applyBorder="1"/>
    <xf numFmtId="0" fontId="16" fillId="2" borderId="3" xfId="0" applyFont="1" applyFill="1" applyBorder="1" applyAlignment="1">
      <alignment horizontal="center"/>
    </xf>
    <xf numFmtId="0" fontId="14" fillId="2" borderId="0" xfId="0" applyFont="1" applyFill="1" applyAlignment="1">
      <alignment horizontal="right"/>
    </xf>
    <xf numFmtId="0" fontId="15" fillId="3" borderId="1" xfId="0" applyFont="1" applyFill="1" applyBorder="1" applyAlignment="1" applyProtection="1">
      <alignment horizontal="center"/>
      <protection locked="0"/>
    </xf>
    <xf numFmtId="0" fontId="16" fillId="2" borderId="0" xfId="0" applyFont="1" applyFill="1" applyAlignment="1">
      <alignment horizontal="center"/>
    </xf>
    <xf numFmtId="0" fontId="9" fillId="4" borderId="0" xfId="0" applyFont="1" applyFill="1" applyAlignment="1">
      <alignment horizontal="left" vertical="top" wrapText="1"/>
    </xf>
    <xf numFmtId="0" fontId="9" fillId="4" borderId="2" xfId="0" applyFont="1" applyFill="1" applyBorder="1" applyAlignment="1">
      <alignment horizontal="left" wrapText="1"/>
    </xf>
    <xf numFmtId="0" fontId="7" fillId="3" borderId="3" xfId="0" applyFont="1" applyFill="1" applyBorder="1" applyAlignment="1" applyProtection="1">
      <alignment horizontal="center" vertical="center"/>
      <protection locked="0"/>
    </xf>
    <xf numFmtId="0" fontId="7" fillId="3" borderId="7" xfId="0" applyFont="1" applyFill="1" applyBorder="1" applyAlignment="1" applyProtection="1">
      <alignment horizontal="center" vertical="center"/>
      <protection locked="0"/>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4" borderId="2" xfId="0" applyFont="1" applyFill="1" applyBorder="1" applyAlignment="1">
      <alignment horizontal="left" vertical="top"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cellXfs>
  <cellStyles count="2">
    <cellStyle name="Comma" xfId="1" xr:uid="{00000000-0005-0000-0000-000000000000}"/>
    <cellStyle name="Обычный"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C1:M81"/>
  <sheetViews>
    <sheetView tabSelected="1" topLeftCell="A27" zoomScaleNormal="100" workbookViewId="0">
      <selection activeCell="Q36" sqref="Q36"/>
    </sheetView>
  </sheetViews>
  <sheetFormatPr defaultRowHeight="14.4" x14ac:dyDescent="0.3"/>
  <cols>
    <col min="1" max="2" width="8.6640625" customWidth="1"/>
    <col min="3" max="3" width="12.6640625" customWidth="1"/>
    <col min="4" max="4" width="6.109375" customWidth="1"/>
    <col min="5" max="5" width="8.6640625" customWidth="1"/>
    <col min="6" max="6" width="12.6640625" customWidth="1"/>
    <col min="7" max="7" width="13.109375" customWidth="1"/>
    <col min="8" max="8" width="13.33203125" customWidth="1"/>
    <col min="9" max="9" width="22.44140625" customWidth="1"/>
    <col min="10" max="10" width="14.5546875" customWidth="1"/>
    <col min="11" max="11" width="4.6640625" bestFit="1" customWidth="1"/>
    <col min="12" max="12" width="9.33203125" customWidth="1"/>
    <col min="13" max="13" width="8.6640625" customWidth="1"/>
  </cols>
  <sheetData>
    <row r="1" spans="3:12" x14ac:dyDescent="0.3">
      <c r="C1" s="48" t="s">
        <v>52</v>
      </c>
      <c r="D1" s="48"/>
      <c r="E1" s="48"/>
      <c r="F1" s="48"/>
      <c r="G1" s="48"/>
      <c r="H1" s="48"/>
      <c r="I1" s="48"/>
      <c r="J1" s="48"/>
      <c r="K1" s="48"/>
      <c r="L1" s="48"/>
    </row>
    <row r="2" spans="3:12" x14ac:dyDescent="0.3">
      <c r="C2" s="49"/>
      <c r="D2" s="49"/>
      <c r="E2" s="49"/>
      <c r="F2" s="49"/>
      <c r="G2" s="49"/>
      <c r="H2" s="49"/>
      <c r="I2" s="49"/>
      <c r="J2" s="49"/>
      <c r="K2" s="49"/>
      <c r="L2" s="49"/>
    </row>
    <row r="3" spans="3:12" x14ac:dyDescent="0.3">
      <c r="C3" s="1"/>
      <c r="D3" s="1"/>
      <c r="E3" s="1"/>
      <c r="F3" s="1"/>
      <c r="G3" s="1"/>
      <c r="H3" s="1"/>
      <c r="I3" s="1"/>
      <c r="J3" s="1"/>
      <c r="K3" s="1"/>
      <c r="L3" s="1"/>
    </row>
    <row r="4" spans="3:12" x14ac:dyDescent="0.3">
      <c r="C4" s="1"/>
      <c r="D4" s="1"/>
      <c r="E4" s="1"/>
      <c r="F4" s="1"/>
      <c r="G4" s="1"/>
      <c r="H4" s="1"/>
      <c r="I4" s="1"/>
      <c r="J4" s="1"/>
      <c r="K4" s="1"/>
      <c r="L4" s="1"/>
    </row>
    <row r="5" spans="3:12" x14ac:dyDescent="0.3">
      <c r="C5" s="2"/>
      <c r="D5" s="2"/>
      <c r="E5" s="2"/>
      <c r="F5" s="2"/>
      <c r="G5" s="2"/>
      <c r="H5" s="2"/>
      <c r="I5" s="2"/>
      <c r="J5" s="2"/>
      <c r="K5" s="2"/>
      <c r="L5" s="2"/>
    </row>
    <row r="6" spans="3:12" x14ac:dyDescent="0.3">
      <c r="C6" s="2"/>
      <c r="D6" s="2"/>
      <c r="E6" s="2"/>
      <c r="F6" s="2"/>
      <c r="G6" s="2"/>
      <c r="H6" s="2"/>
      <c r="I6" s="2"/>
      <c r="J6" s="2"/>
      <c r="K6" s="2"/>
      <c r="L6" s="2"/>
    </row>
    <row r="7" spans="3:12" x14ac:dyDescent="0.3">
      <c r="C7" s="2"/>
      <c r="D7" s="2"/>
      <c r="E7" s="2"/>
      <c r="F7" s="2"/>
      <c r="G7" s="2"/>
      <c r="H7" s="2"/>
      <c r="I7" s="2"/>
      <c r="J7" s="2"/>
      <c r="K7" s="2"/>
      <c r="L7" s="2"/>
    </row>
    <row r="8" spans="3:12" ht="14.7" customHeight="1" x14ac:dyDescent="0.3">
      <c r="C8" s="3" t="s">
        <v>53</v>
      </c>
      <c r="D8" s="50" t="s">
        <v>54</v>
      </c>
      <c r="E8" s="50"/>
      <c r="F8" s="4"/>
      <c r="G8" s="4"/>
      <c r="H8" s="4"/>
      <c r="I8" s="4"/>
      <c r="J8" s="4"/>
      <c r="K8" s="4"/>
      <c r="L8" s="4"/>
    </row>
    <row r="9" spans="3:12" ht="14.7" customHeight="1" x14ac:dyDescent="0.3">
      <c r="C9" s="3" t="s">
        <v>55</v>
      </c>
      <c r="D9" s="50" t="s">
        <v>54</v>
      </c>
      <c r="E9" s="50"/>
      <c r="F9" s="4"/>
      <c r="G9" s="4"/>
      <c r="H9" s="4"/>
      <c r="I9" s="4"/>
      <c r="J9" s="4"/>
      <c r="K9" s="4"/>
      <c r="L9" s="4"/>
    </row>
    <row r="10" spans="3:12" ht="15" customHeight="1" x14ac:dyDescent="0.3">
      <c r="C10" s="4"/>
      <c r="D10" s="4"/>
      <c r="E10" s="4"/>
      <c r="F10" s="4"/>
      <c r="G10" s="4"/>
      <c r="H10" s="4"/>
      <c r="I10" s="51" t="s">
        <v>56</v>
      </c>
      <c r="J10" s="51"/>
      <c r="K10" s="51"/>
      <c r="L10" s="4"/>
    </row>
    <row r="11" spans="3:12" ht="15" customHeight="1" x14ac:dyDescent="0.3">
      <c r="C11" s="5"/>
      <c r="D11" s="4"/>
      <c r="E11" s="4"/>
      <c r="F11" s="4"/>
      <c r="G11" s="4"/>
      <c r="H11" s="4"/>
      <c r="I11" s="51"/>
      <c r="J11" s="51"/>
      <c r="K11" s="51"/>
      <c r="L11" s="4"/>
    </row>
    <row r="12" spans="3:12" x14ac:dyDescent="0.3">
      <c r="C12" s="5"/>
      <c r="D12" s="4"/>
      <c r="E12" s="4"/>
      <c r="F12" s="4"/>
      <c r="G12" s="4"/>
      <c r="H12" s="4"/>
      <c r="I12" s="51"/>
      <c r="J12" s="51"/>
      <c r="K12" s="51"/>
      <c r="L12" s="4"/>
    </row>
    <row r="13" spans="3:12" x14ac:dyDescent="0.3">
      <c r="C13" s="4"/>
      <c r="D13" s="4"/>
      <c r="E13" s="4"/>
      <c r="F13" s="4"/>
      <c r="G13" s="4"/>
      <c r="H13" s="4"/>
      <c r="I13" s="51"/>
      <c r="J13" s="51"/>
      <c r="K13" s="51"/>
      <c r="L13" s="4"/>
    </row>
    <row r="14" spans="3:12" x14ac:dyDescent="0.3">
      <c r="C14" s="4"/>
      <c r="D14" s="4"/>
      <c r="E14" s="4"/>
      <c r="F14" s="4"/>
      <c r="G14" s="4"/>
      <c r="H14" s="4"/>
      <c r="I14" s="4"/>
      <c r="J14" s="4"/>
      <c r="K14" s="4"/>
      <c r="L14" s="4"/>
    </row>
    <row r="15" spans="3:12" x14ac:dyDescent="0.3">
      <c r="C15" s="52" t="s">
        <v>57</v>
      </c>
      <c r="D15" s="52"/>
      <c r="E15" s="52"/>
      <c r="F15" s="52"/>
      <c r="G15" s="52"/>
      <c r="H15" s="52"/>
      <c r="I15" s="52"/>
      <c r="J15" s="52"/>
      <c r="K15" s="52"/>
      <c r="L15" s="52"/>
    </row>
    <row r="16" spans="3:12" x14ac:dyDescent="0.3">
      <c r="C16" s="53" t="s">
        <v>58</v>
      </c>
      <c r="D16" s="53"/>
      <c r="E16" s="53"/>
      <c r="F16" s="53"/>
      <c r="G16" s="53"/>
      <c r="H16" s="53"/>
      <c r="I16" s="53"/>
      <c r="J16" s="53"/>
      <c r="K16" s="53"/>
      <c r="L16" s="53"/>
    </row>
    <row r="17" spans="3:13" x14ac:dyDescent="0.3">
      <c r="C17" s="4"/>
      <c r="D17" s="4"/>
      <c r="E17" s="4"/>
      <c r="F17" s="4"/>
      <c r="G17" s="4"/>
      <c r="H17" s="4"/>
      <c r="I17" s="4"/>
      <c r="J17" s="4"/>
      <c r="K17" s="4"/>
      <c r="L17" s="4"/>
    </row>
    <row r="18" spans="3:13" ht="15" customHeight="1" x14ac:dyDescent="0.3">
      <c r="C18" s="6" t="s">
        <v>59</v>
      </c>
      <c r="D18" s="50"/>
      <c r="E18" s="50"/>
      <c r="F18" s="50"/>
      <c r="G18" s="50"/>
      <c r="H18" s="54" t="s">
        <v>60</v>
      </c>
      <c r="I18" s="54"/>
      <c r="J18" s="54"/>
      <c r="K18" s="54"/>
      <c r="L18" s="54"/>
    </row>
    <row r="19" spans="3:13" ht="15" customHeight="1" x14ac:dyDescent="0.3">
      <c r="C19" s="4"/>
      <c r="D19" s="4" t="s">
        <v>61</v>
      </c>
      <c r="E19" s="4"/>
      <c r="F19" s="4"/>
      <c r="G19" s="4"/>
      <c r="H19" s="4"/>
      <c r="I19" s="4"/>
      <c r="J19" s="4"/>
      <c r="K19" s="4"/>
      <c r="L19" s="4"/>
    </row>
    <row r="20" spans="3:13" ht="15.75" customHeight="1" x14ac:dyDescent="0.3">
      <c r="C20" s="8"/>
      <c r="D20" s="9"/>
      <c r="E20" s="9"/>
      <c r="F20" s="4"/>
      <c r="G20" s="9"/>
      <c r="H20" s="9"/>
      <c r="I20" s="4"/>
      <c r="J20" s="10"/>
      <c r="K20" s="11"/>
      <c r="L20" s="11"/>
    </row>
    <row r="21" spans="3:13" ht="17.25" customHeight="1" x14ac:dyDescent="0.3">
      <c r="C21" s="12"/>
      <c r="D21" s="55" t="s">
        <v>62</v>
      </c>
      <c r="E21" s="55"/>
      <c r="F21" s="55"/>
      <c r="G21" s="55"/>
      <c r="H21" s="56" t="s">
        <v>120</v>
      </c>
      <c r="I21" s="56"/>
      <c r="J21" s="13"/>
      <c r="K21" s="11"/>
      <c r="L21" s="11"/>
    </row>
    <row r="22" spans="3:13" ht="15" customHeight="1" x14ac:dyDescent="0.3">
      <c r="C22" s="12"/>
      <c r="D22" s="46" t="s">
        <v>63</v>
      </c>
      <c r="E22" s="46"/>
      <c r="F22" s="46"/>
      <c r="G22" s="46"/>
      <c r="H22" s="47">
        <f>VLOOKUP(H$21,Sheet2!$B$2:$I$9,2,0)</f>
        <v>0</v>
      </c>
      <c r="I22" s="47"/>
      <c r="J22" s="14" t="s">
        <v>69</v>
      </c>
      <c r="K22" s="11"/>
      <c r="L22" s="11"/>
    </row>
    <row r="23" spans="3:13" ht="15" customHeight="1" x14ac:dyDescent="0.3">
      <c r="C23" s="12"/>
      <c r="D23" s="46" t="s">
        <v>64</v>
      </c>
      <c r="E23" s="46"/>
      <c r="F23" s="46"/>
      <c r="G23" s="46"/>
      <c r="H23" s="47">
        <f>VLOOKUP(H$21,Sheet2!$B$2:$I$9,3,0)+H26*1000+H27*1000</f>
        <v>0</v>
      </c>
      <c r="I23" s="47"/>
      <c r="J23" s="14" t="s">
        <v>69</v>
      </c>
      <c r="K23" s="11"/>
      <c r="L23" s="11"/>
    </row>
    <row r="24" spans="3:13" ht="14.7" customHeight="1" x14ac:dyDescent="0.3">
      <c r="C24" s="12"/>
      <c r="D24" s="58" t="s">
        <v>65</v>
      </c>
      <c r="E24" s="58"/>
      <c r="F24" s="58"/>
      <c r="G24" s="58"/>
      <c r="H24" s="47">
        <f>VLOOKUP(H$21,Sheet2!$B$2:$I$9,4,0)</f>
        <v>0</v>
      </c>
      <c r="I24" s="47"/>
      <c r="J24" s="14" t="s">
        <v>70</v>
      </c>
      <c r="K24" s="11"/>
      <c r="L24" s="11"/>
    </row>
    <row r="25" spans="3:13" ht="15" customHeight="1" x14ac:dyDescent="0.3">
      <c r="C25" s="12"/>
      <c r="D25" s="59" t="s">
        <v>66</v>
      </c>
      <c r="E25" s="59"/>
      <c r="F25" s="59"/>
      <c r="G25" s="59"/>
      <c r="H25" s="47">
        <f>VLOOKUP(H$21,Sheet2!$B$2:$I$9,5,0)</f>
        <v>0</v>
      </c>
      <c r="I25" s="47"/>
      <c r="J25" s="14" t="s">
        <v>71</v>
      </c>
      <c r="K25" s="11"/>
      <c r="L25" s="11"/>
    </row>
    <row r="26" spans="3:13" ht="15" customHeight="1" x14ac:dyDescent="0.3">
      <c r="C26" s="12"/>
      <c r="D26" s="60" t="s">
        <v>67</v>
      </c>
      <c r="E26" s="60"/>
      <c r="F26" s="60"/>
      <c r="G26" s="60"/>
      <c r="H26" s="61"/>
      <c r="I26" s="61"/>
      <c r="J26" s="14" t="s">
        <v>70</v>
      </c>
      <c r="K26" s="11"/>
      <c r="L26" s="11"/>
    </row>
    <row r="27" spans="3:13" ht="15" customHeight="1" x14ac:dyDescent="0.3">
      <c r="C27" s="12"/>
      <c r="D27" s="60" t="s">
        <v>68</v>
      </c>
      <c r="E27" s="60"/>
      <c r="F27" s="60"/>
      <c r="G27" s="60"/>
      <c r="H27" s="61"/>
      <c r="I27" s="61"/>
      <c r="J27" s="14" t="s">
        <v>71</v>
      </c>
      <c r="K27" s="11"/>
      <c r="L27" s="11"/>
    </row>
    <row r="28" spans="3:13" ht="48" customHeight="1" x14ac:dyDescent="0.3">
      <c r="C28" s="12"/>
      <c r="D28" s="62" t="s">
        <v>72</v>
      </c>
      <c r="E28" s="62"/>
      <c r="F28" s="62"/>
      <c r="G28" s="62"/>
      <c r="H28" s="62"/>
      <c r="I28" s="62"/>
      <c r="J28" s="62"/>
      <c r="K28" s="11"/>
      <c r="L28" s="11"/>
    </row>
    <row r="29" spans="3:13" x14ac:dyDescent="0.3">
      <c r="C29" s="12"/>
      <c r="D29" s="15"/>
      <c r="E29" s="16"/>
      <c r="F29" s="16"/>
      <c r="G29" s="16"/>
      <c r="H29" s="16"/>
      <c r="I29" s="16"/>
      <c r="J29" s="16"/>
      <c r="K29" s="11"/>
      <c r="L29" s="11"/>
    </row>
    <row r="30" spans="3:13" x14ac:dyDescent="0.3">
      <c r="C30" s="12"/>
      <c r="D30" s="63" t="s">
        <v>73</v>
      </c>
      <c r="E30" s="63"/>
      <c r="F30" s="63"/>
      <c r="G30" s="63"/>
      <c r="H30" s="57"/>
      <c r="I30" s="57"/>
      <c r="J30" s="17"/>
      <c r="K30" s="11"/>
      <c r="L30" s="11"/>
    </row>
    <row r="31" spans="3:13" x14ac:dyDescent="0.3">
      <c r="C31" s="12"/>
      <c r="D31" s="67" t="s">
        <v>74</v>
      </c>
      <c r="E31" s="67"/>
      <c r="F31" s="67"/>
      <c r="G31" s="67"/>
      <c r="H31" s="18" t="s">
        <v>122</v>
      </c>
      <c r="I31" s="68">
        <f>IF(H31="Қосылу",4000,0)</f>
        <v>0</v>
      </c>
      <c r="J31" s="68"/>
      <c r="K31" s="14" t="s">
        <v>69</v>
      </c>
      <c r="L31" s="11"/>
      <c r="M31" s="11"/>
    </row>
    <row r="32" spans="3:13" ht="14.7" customHeight="1" x14ac:dyDescent="0.3">
      <c r="C32" s="12"/>
      <c r="D32" s="69" t="s">
        <v>75</v>
      </c>
      <c r="E32" s="69"/>
      <c r="F32" s="69"/>
      <c r="G32" s="69"/>
      <c r="H32" s="18" t="s">
        <v>122</v>
      </c>
      <c r="I32" s="70">
        <f>IF(H32="Қосылу",4000,0)</f>
        <v>0</v>
      </c>
      <c r="J32" s="70"/>
      <c r="K32" s="14" t="s">
        <v>69</v>
      </c>
      <c r="L32" s="11"/>
      <c r="M32" s="11"/>
    </row>
    <row r="33" spans="3:13" ht="14.7" customHeight="1" x14ac:dyDescent="0.3">
      <c r="C33" s="12"/>
      <c r="D33" s="69" t="s">
        <v>76</v>
      </c>
      <c r="E33" s="69"/>
      <c r="F33" s="69"/>
      <c r="G33" s="69"/>
      <c r="H33" s="18" t="s">
        <v>122</v>
      </c>
      <c r="I33" s="70">
        <f>IF(H33="Қосылу",4000,0)</f>
        <v>0</v>
      </c>
      <c r="J33" s="70"/>
      <c r="K33" s="14" t="s">
        <v>69</v>
      </c>
      <c r="L33" s="11"/>
      <c r="M33" s="11"/>
    </row>
    <row r="34" spans="3:13" ht="25.5" customHeight="1" x14ac:dyDescent="0.3">
      <c r="C34" s="12"/>
      <c r="D34" s="69" t="s">
        <v>78</v>
      </c>
      <c r="E34" s="69"/>
      <c r="F34" s="69"/>
      <c r="G34" s="69"/>
      <c r="H34" s="18" t="s">
        <v>122</v>
      </c>
      <c r="I34" s="70">
        <f>IF(H34="Қосылу",6000,0)</f>
        <v>0</v>
      </c>
      <c r="J34" s="70"/>
      <c r="K34" s="14" t="s">
        <v>69</v>
      </c>
      <c r="L34" s="11"/>
      <c r="M34" s="11"/>
    </row>
    <row r="35" spans="3:13" ht="14.7" customHeight="1" x14ac:dyDescent="0.3">
      <c r="C35" s="12"/>
      <c r="D35" s="69" t="s">
        <v>77</v>
      </c>
      <c r="E35" s="69"/>
      <c r="F35" s="69"/>
      <c r="G35" s="69"/>
      <c r="H35" s="18" t="s">
        <v>122</v>
      </c>
      <c r="I35" s="70">
        <f t="shared" ref="I35:I40" si="0">IF(H35="Қосылу",4000,0)</f>
        <v>0</v>
      </c>
      <c r="J35" s="70"/>
      <c r="K35" s="14" t="s">
        <v>69</v>
      </c>
      <c r="L35" s="2"/>
    </row>
    <row r="36" spans="3:13" x14ac:dyDescent="0.3">
      <c r="C36" s="12"/>
      <c r="D36" s="69" t="s">
        <v>126</v>
      </c>
      <c r="E36" s="69"/>
      <c r="F36" s="69"/>
      <c r="G36" s="69"/>
      <c r="H36" s="18" t="s">
        <v>122</v>
      </c>
      <c r="I36" s="70">
        <f t="shared" si="0"/>
        <v>0</v>
      </c>
      <c r="J36" s="70"/>
      <c r="K36" s="14" t="s">
        <v>69</v>
      </c>
      <c r="L36" s="2"/>
    </row>
    <row r="37" spans="3:13" x14ac:dyDescent="0.3">
      <c r="C37" s="12"/>
      <c r="D37" s="69" t="s">
        <v>123</v>
      </c>
      <c r="E37" s="69"/>
      <c r="F37" s="69"/>
      <c r="G37" s="69"/>
      <c r="H37" s="18" t="s">
        <v>122</v>
      </c>
      <c r="I37" s="70">
        <f t="shared" si="0"/>
        <v>0</v>
      </c>
      <c r="J37" s="70"/>
      <c r="K37" s="14" t="s">
        <v>69</v>
      </c>
      <c r="L37" s="2"/>
    </row>
    <row r="38" spans="3:13" ht="20.7" customHeight="1" x14ac:dyDescent="0.3">
      <c r="C38" s="12"/>
      <c r="D38" s="69" t="s">
        <v>125</v>
      </c>
      <c r="E38" s="69"/>
      <c r="F38" s="69"/>
      <c r="G38" s="69"/>
      <c r="H38" s="18" t="s">
        <v>122</v>
      </c>
      <c r="I38" s="70">
        <f t="shared" si="0"/>
        <v>0</v>
      </c>
      <c r="J38" s="70"/>
      <c r="K38" s="14" t="s">
        <v>69</v>
      </c>
      <c r="L38" s="2"/>
    </row>
    <row r="39" spans="3:13" x14ac:dyDescent="0.3">
      <c r="C39" s="12"/>
      <c r="D39" s="69" t="s">
        <v>124</v>
      </c>
      <c r="E39" s="69"/>
      <c r="F39" s="69"/>
      <c r="G39" s="69"/>
      <c r="H39" s="18" t="s">
        <v>122</v>
      </c>
      <c r="I39" s="70">
        <f t="shared" si="0"/>
        <v>0</v>
      </c>
      <c r="J39" s="70"/>
      <c r="K39" s="14" t="s">
        <v>69</v>
      </c>
      <c r="L39" s="2"/>
    </row>
    <row r="40" spans="3:13" x14ac:dyDescent="0.3">
      <c r="C40" s="12"/>
      <c r="D40" s="69" t="s">
        <v>127</v>
      </c>
      <c r="E40" s="69"/>
      <c r="F40" s="69"/>
      <c r="G40" s="69"/>
      <c r="H40" s="18" t="s">
        <v>122</v>
      </c>
      <c r="I40" s="70">
        <f t="shared" si="0"/>
        <v>0</v>
      </c>
      <c r="J40" s="70"/>
      <c r="K40" s="14" t="s">
        <v>69</v>
      </c>
      <c r="L40" s="2"/>
      <c r="M40" s="11"/>
    </row>
    <row r="41" spans="3:13" ht="17.399999999999999" hidden="1" customHeight="1" x14ac:dyDescent="0.3">
      <c r="C41" s="12"/>
      <c r="D41" s="71" t="e">
        <f>IF(#REF!="Подключить",Sheet2!C22," ")&amp;IF(H32="Подключить",Sheet2!C11," ")</f>
        <v>#REF!</v>
      </c>
      <c r="E41" s="71"/>
      <c r="F41" s="71"/>
      <c r="G41" s="71"/>
      <c r="H41" s="71"/>
      <c r="I41" s="71"/>
      <c r="J41" s="71"/>
      <c r="K41" s="71"/>
      <c r="L41" s="11"/>
    </row>
    <row r="42" spans="3:13" ht="17.399999999999999" customHeight="1" x14ac:dyDescent="0.3">
      <c r="C42" s="12"/>
      <c r="D42" s="15"/>
      <c r="E42" s="15"/>
      <c r="F42" s="15"/>
      <c r="G42" s="15"/>
      <c r="H42" s="15"/>
      <c r="I42" s="15"/>
      <c r="J42" s="15"/>
      <c r="K42" s="15"/>
      <c r="L42" s="11"/>
    </row>
    <row r="43" spans="3:13" ht="17.399999999999999" customHeight="1" x14ac:dyDescent="0.3">
      <c r="C43" s="12"/>
      <c r="D43" s="15"/>
      <c r="E43" s="15"/>
      <c r="F43" s="15"/>
      <c r="G43" s="45" t="s">
        <v>128</v>
      </c>
      <c r="H43" s="45"/>
      <c r="I43" s="45"/>
      <c r="J43" s="45"/>
      <c r="K43" s="15"/>
      <c r="L43" s="11"/>
    </row>
    <row r="44" spans="3:13" x14ac:dyDescent="0.3">
      <c r="C44" s="12"/>
      <c r="D44" s="91" t="s">
        <v>129</v>
      </c>
      <c r="E44" s="91"/>
      <c r="F44" s="91"/>
      <c r="G44" s="91"/>
      <c r="H44" s="92" t="s">
        <v>122</v>
      </c>
      <c r="I44" s="94">
        <f>IF(H44="Қосылу",4000,0)</f>
        <v>0</v>
      </c>
      <c r="J44" s="95"/>
      <c r="K44" s="14" t="s">
        <v>69</v>
      </c>
      <c r="L44" s="11"/>
    </row>
    <row r="45" spans="3:13" ht="22.95" customHeight="1" x14ac:dyDescent="0.3">
      <c r="C45" s="12"/>
      <c r="D45" s="96" t="s">
        <v>130</v>
      </c>
      <c r="E45" s="96"/>
      <c r="F45" s="96"/>
      <c r="G45" s="96"/>
      <c r="H45" s="93"/>
      <c r="I45" s="97" t="str">
        <f>IF(H44="Қосылу",H25*1000+H27*1000,"0")</f>
        <v>0</v>
      </c>
      <c r="J45" s="98"/>
      <c r="K45" s="14" t="s">
        <v>69</v>
      </c>
      <c r="L45" s="11"/>
    </row>
    <row r="46" spans="3:13" ht="17.399999999999999" customHeight="1" x14ac:dyDescent="0.3">
      <c r="C46" s="12"/>
      <c r="D46" s="90" t="s">
        <v>131</v>
      </c>
      <c r="E46" s="90"/>
      <c r="F46" s="90"/>
      <c r="G46" s="90"/>
      <c r="H46" s="90"/>
      <c r="I46" s="90"/>
      <c r="J46" s="90"/>
      <c r="K46" s="90"/>
      <c r="L46" s="11"/>
    </row>
    <row r="47" spans="3:13" ht="17.399999999999999" customHeight="1" x14ac:dyDescent="0.3">
      <c r="C47" s="12"/>
      <c r="D47" s="15"/>
      <c r="E47" s="15"/>
      <c r="F47" s="15"/>
      <c r="G47" s="15"/>
      <c r="H47" s="15"/>
      <c r="I47" s="15"/>
      <c r="J47" s="15"/>
      <c r="K47" s="15"/>
      <c r="L47" s="11"/>
    </row>
    <row r="48" spans="3:13" ht="18" customHeight="1" x14ac:dyDescent="0.3">
      <c r="C48" s="12"/>
      <c r="D48" s="15"/>
      <c r="E48" s="16"/>
      <c r="F48" s="16"/>
      <c r="G48" s="16"/>
      <c r="H48" s="16"/>
      <c r="I48" s="16"/>
      <c r="J48" s="16"/>
      <c r="K48" s="11"/>
      <c r="L48" s="11"/>
    </row>
    <row r="49" spans="3:12" ht="15" customHeight="1" x14ac:dyDescent="0.3">
      <c r="C49" s="19"/>
      <c r="D49" s="55" t="s">
        <v>79</v>
      </c>
      <c r="E49" s="55"/>
      <c r="F49" s="55"/>
      <c r="G49" s="55"/>
      <c r="H49" s="56" t="s">
        <v>120</v>
      </c>
      <c r="I49" s="56"/>
      <c r="J49" s="13"/>
      <c r="K49" s="4"/>
      <c r="L49" s="4"/>
    </row>
    <row r="50" spans="3:12" ht="21" customHeight="1" x14ac:dyDescent="0.3">
      <c r="C50" s="20"/>
      <c r="D50" s="60" t="s">
        <v>80</v>
      </c>
      <c r="E50" s="60"/>
      <c r="F50" s="60"/>
      <c r="G50" s="60"/>
      <c r="H50" s="47">
        <f>VLOOKUP(H49,Sheet2!$B$26:$H$35,2,0)</f>
        <v>0</v>
      </c>
      <c r="I50" s="47"/>
      <c r="J50" s="14" t="s">
        <v>69</v>
      </c>
      <c r="K50" s="4"/>
      <c r="L50" s="4"/>
    </row>
    <row r="51" spans="3:12" ht="28.5" customHeight="1" x14ac:dyDescent="0.3">
      <c r="C51" s="20"/>
      <c r="D51" s="46" t="s">
        <v>81</v>
      </c>
      <c r="E51" s="46"/>
      <c r="F51" s="46"/>
      <c r="G51" s="46"/>
      <c r="H51" s="64">
        <f>VLOOKUP(H49,Sheet2!$B$26:$H$35,3,0)</f>
        <v>0</v>
      </c>
      <c r="I51" s="64"/>
      <c r="J51" s="14" t="s">
        <v>0</v>
      </c>
      <c r="K51" s="4"/>
      <c r="L51" s="4"/>
    </row>
    <row r="52" spans="3:12" ht="20.25" customHeight="1" x14ac:dyDescent="0.3">
      <c r="C52" s="21"/>
      <c r="D52" s="65" t="s">
        <v>82</v>
      </c>
      <c r="E52" s="65"/>
      <c r="F52" s="65"/>
      <c r="G52" s="65"/>
      <c r="H52" s="66" t="s">
        <v>88</v>
      </c>
      <c r="I52" s="66"/>
      <c r="J52" s="22" t="s">
        <v>89</v>
      </c>
      <c r="K52" s="23"/>
      <c r="L52" s="4"/>
    </row>
    <row r="53" spans="3:12" ht="21" customHeight="1" x14ac:dyDescent="0.3">
      <c r="C53" s="20"/>
      <c r="D53" s="46" t="s">
        <v>83</v>
      </c>
      <c r="E53" s="46"/>
      <c r="F53" s="46"/>
      <c r="G53" s="46"/>
      <c r="H53" s="64">
        <f>VLOOKUP(H49,Sheet2!$B$26:$H$35,4,0)</f>
        <v>0</v>
      </c>
      <c r="I53" s="64"/>
      <c r="J53" s="14" t="s">
        <v>1</v>
      </c>
      <c r="K53" s="4"/>
      <c r="L53" s="4"/>
    </row>
    <row r="54" spans="3:12" ht="15" customHeight="1" x14ac:dyDescent="0.3">
      <c r="C54" s="20"/>
      <c r="D54" s="60" t="s">
        <v>84</v>
      </c>
      <c r="E54" s="60"/>
      <c r="F54" s="60"/>
      <c r="G54" s="60"/>
      <c r="H54" s="64">
        <f>VLOOKUP(H49,Sheet2!$B$26:$H$35,5,0)</f>
        <v>0</v>
      </c>
      <c r="I54" s="64"/>
      <c r="J54" s="14" t="s">
        <v>1</v>
      </c>
      <c r="K54" s="4"/>
      <c r="L54" s="4"/>
    </row>
    <row r="55" spans="3:12" ht="15" customHeight="1" x14ac:dyDescent="0.3">
      <c r="C55" s="20"/>
      <c r="D55" s="60" t="s">
        <v>85</v>
      </c>
      <c r="E55" s="60"/>
      <c r="F55" s="60"/>
      <c r="G55" s="60"/>
      <c r="H55" s="64">
        <f>VLOOKUP(H49,Sheet2!$B$26:$H$94,6,0)</f>
        <v>0</v>
      </c>
      <c r="I55" s="64"/>
      <c r="J55" s="14" t="s">
        <v>1</v>
      </c>
      <c r="K55" s="4"/>
      <c r="L55" s="4"/>
    </row>
    <row r="56" spans="3:12" ht="15" customHeight="1" x14ac:dyDescent="0.3">
      <c r="C56" s="20"/>
      <c r="D56" s="60" t="s">
        <v>86</v>
      </c>
      <c r="E56" s="60"/>
      <c r="F56" s="60"/>
      <c r="G56" s="60"/>
      <c r="H56" s="64">
        <f>VLOOKUP(H49,Sheet2!$B$26:$H$35,7,0)</f>
        <v>0</v>
      </c>
      <c r="I56" s="64"/>
      <c r="J56" s="14" t="s">
        <v>1</v>
      </c>
      <c r="K56" s="4"/>
      <c r="L56" s="4"/>
    </row>
    <row r="57" spans="3:12" ht="16.2" customHeight="1" x14ac:dyDescent="0.3">
      <c r="C57" s="20"/>
      <c r="D57" s="60" t="s">
        <v>87</v>
      </c>
      <c r="E57" s="60"/>
      <c r="F57" s="60"/>
      <c r="G57" s="60"/>
      <c r="H57" s="77" t="s">
        <v>90</v>
      </c>
      <c r="I57" s="77"/>
      <c r="J57" s="24"/>
      <c r="K57" s="25"/>
      <c r="L57" s="4"/>
    </row>
    <row r="58" spans="3:12" ht="94.95" customHeight="1" x14ac:dyDescent="0.3">
      <c r="C58" s="16"/>
      <c r="D58" s="71" t="s">
        <v>91</v>
      </c>
      <c r="E58" s="71"/>
      <c r="F58" s="71"/>
      <c r="G58" s="71"/>
      <c r="H58" s="71"/>
      <c r="I58" s="71"/>
      <c r="J58" s="71"/>
      <c r="K58" s="4"/>
      <c r="L58" s="4"/>
    </row>
    <row r="59" spans="3:12" x14ac:dyDescent="0.3">
      <c r="C59" s="16"/>
      <c r="D59" s="15"/>
      <c r="E59" s="16"/>
      <c r="F59" s="16"/>
      <c r="G59" s="16"/>
      <c r="H59" s="67" t="s">
        <v>92</v>
      </c>
      <c r="I59" s="67"/>
      <c r="J59" s="26">
        <f>H23+I31+I32+I33+I35+H50+I40+I34+I36+I37+I38+I39+I44+I45</f>
        <v>0</v>
      </c>
      <c r="K59" s="4"/>
      <c r="L59" s="4"/>
    </row>
    <row r="60" spans="3:12" x14ac:dyDescent="0.3">
      <c r="C60" s="7"/>
      <c r="D60" s="27"/>
      <c r="E60" s="27"/>
      <c r="F60" s="27"/>
      <c r="G60" s="27"/>
      <c r="H60" s="28"/>
      <c r="I60" s="7"/>
      <c r="J60" s="4"/>
      <c r="K60" s="4"/>
      <c r="L60" s="4"/>
    </row>
    <row r="61" spans="3:12" ht="33" customHeight="1" x14ac:dyDescent="0.3">
      <c r="C61" s="72" t="s">
        <v>93</v>
      </c>
      <c r="D61" s="72"/>
      <c r="E61" s="72"/>
      <c r="F61" s="72"/>
      <c r="G61" s="72"/>
      <c r="H61" s="72"/>
      <c r="I61" s="72"/>
      <c r="J61" s="72"/>
      <c r="K61" s="72"/>
      <c r="L61" s="72"/>
    </row>
    <row r="62" spans="3:12" ht="17.25" customHeight="1" x14ac:dyDescent="0.3">
      <c r="C62" s="29"/>
      <c r="D62" s="73" t="s">
        <v>94</v>
      </c>
      <c r="E62" s="73"/>
      <c r="F62" s="74" t="s">
        <v>95</v>
      </c>
      <c r="G62" s="74"/>
      <c r="H62" s="30" t="s">
        <v>2</v>
      </c>
      <c r="I62" s="75" t="s">
        <v>3</v>
      </c>
      <c r="J62" s="75"/>
      <c r="K62" s="29"/>
      <c r="L62" s="29"/>
    </row>
    <row r="63" spans="3:12" ht="21.45" customHeight="1" x14ac:dyDescent="0.3">
      <c r="C63" s="29"/>
      <c r="D63" s="73" t="s">
        <v>96</v>
      </c>
      <c r="E63" s="73"/>
      <c r="F63" s="73"/>
      <c r="G63" s="73"/>
      <c r="H63" s="76" t="s">
        <v>97</v>
      </c>
      <c r="I63" s="76"/>
      <c r="J63" s="29" t="s">
        <v>4</v>
      </c>
      <c r="K63" s="29"/>
      <c r="L63" s="29"/>
    </row>
    <row r="64" spans="3:12" x14ac:dyDescent="0.3">
      <c r="C64" s="7"/>
      <c r="D64" s="79" t="s">
        <v>98</v>
      </c>
      <c r="E64" s="79"/>
      <c r="F64" s="79"/>
      <c r="G64" s="79"/>
      <c r="H64" s="79"/>
      <c r="I64" s="79"/>
      <c r="J64" s="79"/>
      <c r="K64" s="4"/>
      <c r="L64" s="4"/>
    </row>
    <row r="65" spans="3:12" ht="14.7" customHeight="1" x14ac:dyDescent="0.3">
      <c r="C65" s="7"/>
      <c r="D65" s="73" t="s">
        <v>99</v>
      </c>
      <c r="E65" s="73"/>
      <c r="F65" s="73"/>
      <c r="G65" s="80" t="s">
        <v>100</v>
      </c>
      <c r="H65" s="80"/>
      <c r="I65" s="80"/>
      <c r="J65" s="80"/>
      <c r="K65" s="4"/>
      <c r="L65" s="4"/>
    </row>
    <row r="66" spans="3:12" ht="14.7" customHeight="1" x14ac:dyDescent="0.3">
      <c r="C66" s="7"/>
      <c r="D66" s="16" t="s">
        <v>101</v>
      </c>
      <c r="E66" s="16"/>
      <c r="F66" s="16"/>
      <c r="G66" s="81" t="s">
        <v>102</v>
      </c>
      <c r="H66" s="81"/>
      <c r="I66" s="81"/>
      <c r="J66" s="81"/>
      <c r="K66" s="4"/>
      <c r="L66" s="4"/>
    </row>
    <row r="67" spans="3:12" x14ac:dyDescent="0.3">
      <c r="C67" s="7"/>
      <c r="D67" s="20" t="s">
        <v>103</v>
      </c>
      <c r="E67" s="82" t="s">
        <v>104</v>
      </c>
      <c r="F67" s="82"/>
      <c r="G67" s="82"/>
      <c r="H67" s="20"/>
      <c r="I67" s="16"/>
      <c r="J67" s="20"/>
      <c r="K67" s="4"/>
      <c r="L67" s="4"/>
    </row>
    <row r="68" spans="3:12" x14ac:dyDescent="0.3">
      <c r="C68" s="7"/>
      <c r="D68" s="20" t="s">
        <v>5</v>
      </c>
      <c r="E68" s="83" t="s">
        <v>105</v>
      </c>
      <c r="F68" s="83"/>
      <c r="G68" s="83"/>
      <c r="H68" s="20"/>
      <c r="I68" s="16"/>
      <c r="J68" s="20"/>
      <c r="K68" s="4"/>
      <c r="L68" s="4"/>
    </row>
    <row r="69" spans="3:12" x14ac:dyDescent="0.3">
      <c r="C69" s="7"/>
      <c r="D69" s="20" t="s">
        <v>6</v>
      </c>
      <c r="E69" s="83" t="s">
        <v>106</v>
      </c>
      <c r="F69" s="83"/>
      <c r="G69" s="20"/>
      <c r="H69" s="20"/>
      <c r="I69" s="16"/>
      <c r="J69" s="20"/>
      <c r="K69" s="4"/>
      <c r="L69" s="4"/>
    </row>
    <row r="70" spans="3:12" x14ac:dyDescent="0.3">
      <c r="C70" s="7"/>
      <c r="D70" s="20" t="s">
        <v>7</v>
      </c>
      <c r="E70" s="31" t="s">
        <v>107</v>
      </c>
      <c r="F70" s="21"/>
      <c r="G70" s="20"/>
      <c r="H70" s="20"/>
      <c r="I70" s="16"/>
      <c r="J70" s="20"/>
      <c r="K70" s="4"/>
      <c r="L70" s="4"/>
    </row>
    <row r="71" spans="3:12" ht="14.7" customHeight="1" x14ac:dyDescent="0.3">
      <c r="C71" s="7"/>
      <c r="D71" s="73" t="s">
        <v>108</v>
      </c>
      <c r="E71" s="73"/>
      <c r="F71" s="84" t="s">
        <v>109</v>
      </c>
      <c r="G71" s="84"/>
      <c r="H71" s="84"/>
      <c r="I71" s="84"/>
      <c r="J71" s="20"/>
      <c r="K71" s="4"/>
      <c r="L71" s="4"/>
    </row>
    <row r="72" spans="3:12" ht="14.7" customHeight="1" x14ac:dyDescent="0.3">
      <c r="C72" s="7"/>
      <c r="D72" s="73" t="s">
        <v>110</v>
      </c>
      <c r="E72" s="73"/>
      <c r="F72" s="73"/>
      <c r="G72" s="73"/>
      <c r="H72" s="84" t="s">
        <v>111</v>
      </c>
      <c r="I72" s="84"/>
      <c r="J72" s="84"/>
      <c r="K72" s="4"/>
      <c r="L72" s="4"/>
    </row>
    <row r="73" spans="3:12" ht="15" customHeight="1" x14ac:dyDescent="0.3">
      <c r="C73" s="7"/>
      <c r="D73" s="73" t="s">
        <v>112</v>
      </c>
      <c r="E73" s="73"/>
      <c r="F73" s="73"/>
      <c r="G73" s="73"/>
      <c r="H73" s="78" t="s">
        <v>113</v>
      </c>
      <c r="I73" s="78"/>
      <c r="J73" s="78"/>
      <c r="K73" s="23"/>
      <c r="L73" s="4"/>
    </row>
    <row r="74" spans="3:12" ht="10.5" customHeight="1" x14ac:dyDescent="0.3">
      <c r="C74" s="4"/>
      <c r="D74" s="73" t="s">
        <v>114</v>
      </c>
      <c r="E74" s="73"/>
      <c r="F74" s="73"/>
      <c r="G74" s="84" t="s">
        <v>95</v>
      </c>
      <c r="H74" s="84"/>
      <c r="I74" s="32" t="s">
        <v>2</v>
      </c>
      <c r="J74" s="33" t="s">
        <v>3</v>
      </c>
      <c r="K74" s="4"/>
      <c r="L74" s="4"/>
    </row>
    <row r="75" spans="3:12" x14ac:dyDescent="0.3">
      <c r="C75" s="7"/>
      <c r="D75" s="7"/>
      <c r="E75" s="7"/>
      <c r="F75" s="7"/>
      <c r="G75" s="7"/>
      <c r="H75" s="7"/>
      <c r="I75" s="7"/>
      <c r="J75" s="2"/>
      <c r="K75" s="2"/>
      <c r="L75" s="2"/>
    </row>
    <row r="76" spans="3:12" ht="15" customHeight="1" x14ac:dyDescent="0.3">
      <c r="C76" s="49"/>
      <c r="D76" s="49"/>
      <c r="E76" s="49"/>
      <c r="F76" s="49"/>
      <c r="G76" s="49"/>
      <c r="H76" s="49"/>
      <c r="I76" s="49"/>
      <c r="J76" s="49"/>
      <c r="K76" s="49"/>
      <c r="L76" s="49"/>
    </row>
    <row r="77" spans="3:12" x14ac:dyDescent="0.3">
      <c r="C77" s="34"/>
      <c r="D77" s="35"/>
      <c r="E77" s="35"/>
      <c r="F77" s="35"/>
      <c r="G77" s="35"/>
      <c r="H77" s="35"/>
      <c r="I77" s="35"/>
      <c r="J77" s="35"/>
      <c r="K77" s="35"/>
      <c r="L77" s="35"/>
    </row>
    <row r="78" spans="3:12" ht="15.6" x14ac:dyDescent="0.3">
      <c r="C78" s="87" t="s">
        <v>115</v>
      </c>
      <c r="D78" s="87"/>
      <c r="E78" s="87"/>
      <c r="F78" s="88" t="s">
        <v>116</v>
      </c>
      <c r="G78" s="88"/>
      <c r="H78" s="89" t="s">
        <v>117</v>
      </c>
      <c r="I78" s="89"/>
      <c r="J78" s="88" t="s">
        <v>118</v>
      </c>
      <c r="K78" s="88"/>
      <c r="L78" s="88"/>
    </row>
    <row r="79" spans="3:12" x14ac:dyDescent="0.3">
      <c r="C79" s="2"/>
      <c r="D79" s="2"/>
      <c r="E79" s="2"/>
      <c r="F79" s="85"/>
      <c r="G79" s="85"/>
      <c r="H79" s="2"/>
      <c r="I79" s="2"/>
      <c r="J79" s="86" t="s">
        <v>118</v>
      </c>
      <c r="K79" s="86"/>
      <c r="L79" s="86"/>
    </row>
    <row r="80" spans="3:12" ht="15.6" x14ac:dyDescent="0.3">
      <c r="C80" s="87" t="s">
        <v>8</v>
      </c>
      <c r="D80" s="87"/>
      <c r="E80" s="87"/>
      <c r="F80" s="88" t="s">
        <v>119</v>
      </c>
      <c r="G80" s="88"/>
      <c r="H80" s="2"/>
      <c r="I80" s="2"/>
      <c r="J80" s="2"/>
      <c r="K80" s="2"/>
      <c r="L80" s="2"/>
    </row>
    <row r="81" spans="3:12" ht="15.6" x14ac:dyDescent="0.3">
      <c r="C81" s="36"/>
      <c r="D81" s="36"/>
      <c r="E81" s="36"/>
      <c r="F81" s="37"/>
      <c r="G81" s="37"/>
      <c r="H81" s="2"/>
      <c r="I81" s="2"/>
      <c r="J81" s="2"/>
      <c r="K81" s="2"/>
      <c r="L81" s="2"/>
    </row>
  </sheetData>
  <mergeCells count="103">
    <mergeCell ref="D46:K46"/>
    <mergeCell ref="D44:G44"/>
    <mergeCell ref="H44:H45"/>
    <mergeCell ref="I44:J44"/>
    <mergeCell ref="D45:G45"/>
    <mergeCell ref="I45:J45"/>
    <mergeCell ref="D39:G39"/>
    <mergeCell ref="I36:J36"/>
    <mergeCell ref="I37:J37"/>
    <mergeCell ref="I38:J38"/>
    <mergeCell ref="I39:J39"/>
    <mergeCell ref="F79:G79"/>
    <mergeCell ref="J79:L79"/>
    <mergeCell ref="C80:E80"/>
    <mergeCell ref="F80:G80"/>
    <mergeCell ref="D74:F74"/>
    <mergeCell ref="G74:H74"/>
    <mergeCell ref="C76:L76"/>
    <mergeCell ref="C78:E78"/>
    <mergeCell ref="F78:G78"/>
    <mergeCell ref="H78:I78"/>
    <mergeCell ref="J78:L78"/>
    <mergeCell ref="D73:G73"/>
    <mergeCell ref="H73:J73"/>
    <mergeCell ref="D64:J64"/>
    <mergeCell ref="D65:F65"/>
    <mergeCell ref="G65:J65"/>
    <mergeCell ref="G66:J66"/>
    <mergeCell ref="E67:G67"/>
    <mergeCell ref="E68:G68"/>
    <mergeCell ref="E69:F69"/>
    <mergeCell ref="D71:E71"/>
    <mergeCell ref="F71:I71"/>
    <mergeCell ref="D72:G72"/>
    <mergeCell ref="H72:J72"/>
    <mergeCell ref="C61:L61"/>
    <mergeCell ref="D62:E62"/>
    <mergeCell ref="F62:G62"/>
    <mergeCell ref="I62:J62"/>
    <mergeCell ref="D63:G63"/>
    <mergeCell ref="H63:I63"/>
    <mergeCell ref="H59:I59"/>
    <mergeCell ref="D53:G53"/>
    <mergeCell ref="H53:I53"/>
    <mergeCell ref="D54:G54"/>
    <mergeCell ref="H54:I54"/>
    <mergeCell ref="D55:G55"/>
    <mergeCell ref="H55:I55"/>
    <mergeCell ref="D56:G56"/>
    <mergeCell ref="H56:I56"/>
    <mergeCell ref="D57:G57"/>
    <mergeCell ref="H57:I57"/>
    <mergeCell ref="D58:J58"/>
    <mergeCell ref="D50:G50"/>
    <mergeCell ref="H50:I50"/>
    <mergeCell ref="D51:G51"/>
    <mergeCell ref="H51:I51"/>
    <mergeCell ref="D52:G52"/>
    <mergeCell ref="H52:I52"/>
    <mergeCell ref="D49:G49"/>
    <mergeCell ref="H49:I49"/>
    <mergeCell ref="D31:G31"/>
    <mergeCell ref="I31:J31"/>
    <mergeCell ref="D32:G32"/>
    <mergeCell ref="I32:J32"/>
    <mergeCell ref="D33:G33"/>
    <mergeCell ref="I33:J33"/>
    <mergeCell ref="D35:G35"/>
    <mergeCell ref="I35:J35"/>
    <mergeCell ref="D40:G40"/>
    <mergeCell ref="I40:J40"/>
    <mergeCell ref="D41:K41"/>
    <mergeCell ref="D36:G36"/>
    <mergeCell ref="D37:G37"/>
    <mergeCell ref="D38:G38"/>
    <mergeCell ref="D34:G34"/>
    <mergeCell ref="I34:J34"/>
    <mergeCell ref="H30:I30"/>
    <mergeCell ref="D23:G23"/>
    <mergeCell ref="H23:I23"/>
    <mergeCell ref="D24:G24"/>
    <mergeCell ref="H24:I24"/>
    <mergeCell ref="D25:G25"/>
    <mergeCell ref="H25:I25"/>
    <mergeCell ref="D26:G26"/>
    <mergeCell ref="H26:I26"/>
    <mergeCell ref="D27:G27"/>
    <mergeCell ref="H27:I27"/>
    <mergeCell ref="D28:J28"/>
    <mergeCell ref="D30:G30"/>
    <mergeCell ref="D22:G22"/>
    <mergeCell ref="H22:I22"/>
    <mergeCell ref="C1:L1"/>
    <mergeCell ref="C2:L2"/>
    <mergeCell ref="D8:E8"/>
    <mergeCell ref="D9:E9"/>
    <mergeCell ref="I10:K13"/>
    <mergeCell ref="C15:L15"/>
    <mergeCell ref="C16:L16"/>
    <mergeCell ref="D18:G18"/>
    <mergeCell ref="H18:L18"/>
    <mergeCell ref="D21:G21"/>
    <mergeCell ref="H21:I21"/>
  </mergeCells>
  <pageMargins left="1.1023622047244099" right="0.74803149606299213" top="0.62992125984252023" bottom="0.62992125984252023" header="0.31496062992126012" footer="0.31496062992126012"/>
  <pageSetup paperSize="0" orientation="portrait" horizontalDpi="0" verticalDpi="0" copies="0"/>
  <colBreaks count="1" manualBreakCount="1">
    <brk id="9" man="1"/>
  </colBreaks>
  <legacyDrawing r:id="rId1"/>
  <extLst>
    <ext xmlns:x14="http://schemas.microsoft.com/office/spreadsheetml/2009/9/main" uri="{CCE6A557-97BC-4b89-ADB6-D9C93CAAB3DF}">
      <x14:dataValidations xmlns:xm="http://schemas.microsoft.com/office/excel/2006/main" count="3">
        <x14:dataValidation type="list" allowBlank="1" showInputMessage="1" xr:uid="{00000000-0002-0000-0000-000000000000}">
          <x14:formula1>
            <xm:f>Sheet2!$B$2:$B$9</xm:f>
          </x14:formula1>
          <xm:sqref>H21</xm:sqref>
        </x14:dataValidation>
        <x14:dataValidation type="list" allowBlank="1" showInputMessage="1" xr:uid="{00000000-0002-0000-0000-000001000000}">
          <x14:formula1>
            <xm:f>Sheet2!$B$26:$B$35</xm:f>
          </x14:formula1>
          <xm:sqref>H49</xm:sqref>
        </x14:dataValidation>
        <x14:dataValidation type="list" allowBlank="1" showInputMessage="1" showErrorMessage="1" xr:uid="{00000000-0002-0000-0000-000002000000}">
          <x14:formula1>
            <xm:f>Sheet2!$A$11:$A$12</xm:f>
          </x14:formula1>
          <xm:sqref>H31:H40 H44:H45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D2B9-D142-40B5-883C-7600B91A5025}">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workbookViewId="0">
      <selection activeCell="A11" sqref="A11"/>
    </sheetView>
  </sheetViews>
  <sheetFormatPr defaultRowHeight="14.4" x14ac:dyDescent="0.3"/>
  <cols>
    <col min="1" max="1" width="42" bestFit="1" customWidth="1"/>
    <col min="2" max="2" width="47" customWidth="1"/>
    <col min="3" max="3" width="22.6640625" customWidth="1"/>
    <col min="4" max="4" width="16.44140625" customWidth="1"/>
    <col min="5" max="8" width="9.5546875" bestFit="1" customWidth="1"/>
    <col min="9" max="9" width="193.33203125" customWidth="1"/>
    <col min="10" max="10" width="8.6640625" customWidth="1"/>
  </cols>
  <sheetData>
    <row r="1" spans="1:9" x14ac:dyDescent="0.3">
      <c r="C1" t="s">
        <v>9</v>
      </c>
      <c r="D1" s="38" t="s">
        <v>10</v>
      </c>
      <c r="E1" t="s">
        <v>11</v>
      </c>
      <c r="F1" t="s">
        <v>12</v>
      </c>
    </row>
    <row r="2" spans="1:9" x14ac:dyDescent="0.3">
      <c r="A2" s="39" t="s">
        <v>120</v>
      </c>
      <c r="B2" s="39" t="s">
        <v>120</v>
      </c>
      <c r="C2" s="39">
        <v>0</v>
      </c>
      <c r="D2" s="40">
        <v>0</v>
      </c>
      <c r="E2" s="40">
        <v>0</v>
      </c>
      <c r="F2" s="40">
        <v>0</v>
      </c>
      <c r="G2" s="40">
        <v>0</v>
      </c>
      <c r="H2" s="40">
        <v>0</v>
      </c>
      <c r="I2" s="40">
        <v>0</v>
      </c>
    </row>
    <row r="3" spans="1:9" x14ac:dyDescent="0.3">
      <c r="B3" t="s">
        <v>13</v>
      </c>
      <c r="C3">
        <v>0</v>
      </c>
      <c r="D3">
        <v>6000</v>
      </c>
      <c r="E3">
        <v>1</v>
      </c>
      <c r="F3">
        <v>5</v>
      </c>
      <c r="G3">
        <v>1000</v>
      </c>
      <c r="H3">
        <v>0</v>
      </c>
    </row>
    <row r="4" spans="1:9" x14ac:dyDescent="0.3">
      <c r="B4" t="s">
        <v>14</v>
      </c>
      <c r="C4">
        <v>0</v>
      </c>
      <c r="D4">
        <v>12000</v>
      </c>
      <c r="E4">
        <v>3</v>
      </c>
      <c r="F4">
        <v>15</v>
      </c>
      <c r="G4">
        <v>1000</v>
      </c>
      <c r="H4">
        <v>0</v>
      </c>
    </row>
    <row r="5" spans="1:9" x14ac:dyDescent="0.3">
      <c r="B5" t="s">
        <v>15</v>
      </c>
      <c r="C5">
        <v>0</v>
      </c>
      <c r="D5">
        <v>20000</v>
      </c>
      <c r="E5">
        <v>5</v>
      </c>
      <c r="F5">
        <v>30</v>
      </c>
      <c r="G5">
        <v>1000</v>
      </c>
      <c r="H5">
        <v>0</v>
      </c>
    </row>
    <row r="6" spans="1:9" x14ac:dyDescent="0.3">
      <c r="B6" t="s">
        <v>16</v>
      </c>
      <c r="C6">
        <v>0</v>
      </c>
      <c r="D6">
        <v>32000</v>
      </c>
      <c r="E6">
        <v>10</v>
      </c>
      <c r="F6">
        <v>50</v>
      </c>
      <c r="G6">
        <v>1000</v>
      </c>
      <c r="H6">
        <v>0</v>
      </c>
    </row>
    <row r="7" spans="1:9" x14ac:dyDescent="0.3">
      <c r="B7" t="s">
        <v>17</v>
      </c>
      <c r="C7">
        <v>0</v>
      </c>
      <c r="D7">
        <v>50000</v>
      </c>
      <c r="E7">
        <v>15</v>
      </c>
      <c r="F7">
        <v>80</v>
      </c>
      <c r="G7">
        <v>1000</v>
      </c>
      <c r="H7">
        <v>0</v>
      </c>
    </row>
    <row r="8" spans="1:9" x14ac:dyDescent="0.3">
      <c r="B8" t="s">
        <v>18</v>
      </c>
      <c r="C8">
        <v>0</v>
      </c>
      <c r="D8">
        <v>93000</v>
      </c>
      <c r="E8">
        <v>30</v>
      </c>
      <c r="F8">
        <v>150</v>
      </c>
      <c r="G8">
        <v>1000</v>
      </c>
      <c r="H8">
        <v>0</v>
      </c>
    </row>
    <row r="9" spans="1:9" x14ac:dyDescent="0.3">
      <c r="B9" t="s">
        <v>19</v>
      </c>
      <c r="C9">
        <v>0</v>
      </c>
      <c r="D9">
        <v>123000</v>
      </c>
      <c r="E9">
        <v>40</v>
      </c>
      <c r="F9">
        <v>200</v>
      </c>
      <c r="G9">
        <v>1000</v>
      </c>
      <c r="H9">
        <v>0</v>
      </c>
    </row>
    <row r="10" spans="1:9" x14ac:dyDescent="0.3">
      <c r="A10" s="39"/>
    </row>
    <row r="11" spans="1:9" x14ac:dyDescent="0.3">
      <c r="A11" t="s">
        <v>121</v>
      </c>
      <c r="B11" t="s">
        <v>20</v>
      </c>
      <c r="C11" t="s">
        <v>21</v>
      </c>
    </row>
    <row r="12" spans="1:9" x14ac:dyDescent="0.3">
      <c r="A12" t="s">
        <v>122</v>
      </c>
      <c r="B12" t="s">
        <v>22</v>
      </c>
      <c r="C12" t="s">
        <v>23</v>
      </c>
    </row>
    <row r="13" spans="1:9" x14ac:dyDescent="0.3">
      <c r="B13" t="s">
        <v>24</v>
      </c>
    </row>
    <row r="14" spans="1:9" x14ac:dyDescent="0.3">
      <c r="B14" t="s">
        <v>25</v>
      </c>
    </row>
    <row r="15" spans="1:9" x14ac:dyDescent="0.3">
      <c r="B15" t="s">
        <v>26</v>
      </c>
    </row>
    <row r="16" spans="1:9" x14ac:dyDescent="0.3">
      <c r="B16" t="s">
        <v>27</v>
      </c>
    </row>
    <row r="17" spans="1:9" x14ac:dyDescent="0.3">
      <c r="B17" t="s">
        <v>47</v>
      </c>
    </row>
    <row r="18" spans="1:9" x14ac:dyDescent="0.3">
      <c r="B18" t="s">
        <v>48</v>
      </c>
    </row>
    <row r="19" spans="1:9" x14ac:dyDescent="0.3">
      <c r="B19" t="s">
        <v>49</v>
      </c>
    </row>
    <row r="20" spans="1:9" x14ac:dyDescent="0.3">
      <c r="B20" t="s">
        <v>50</v>
      </c>
    </row>
    <row r="21" spans="1:9" x14ac:dyDescent="0.3">
      <c r="B21" t="s">
        <v>51</v>
      </c>
    </row>
    <row r="22" spans="1:9" s="41" customFormat="1" ht="409.6" x14ac:dyDescent="0.3">
      <c r="B22" s="41" t="s">
        <v>28</v>
      </c>
      <c r="C22" s="42" t="s">
        <v>29</v>
      </c>
    </row>
    <row r="25" spans="1:9" s="38" customFormat="1" x14ac:dyDescent="0.3">
      <c r="C25" s="38" t="s">
        <v>10</v>
      </c>
      <c r="D25" s="38" t="s">
        <v>30</v>
      </c>
      <c r="E25" s="38" t="s">
        <v>31</v>
      </c>
      <c r="F25" s="38" t="s">
        <v>32</v>
      </c>
      <c r="G25" s="38" t="s">
        <v>33</v>
      </c>
      <c r="H25" s="38" t="s">
        <v>34</v>
      </c>
    </row>
    <row r="26" spans="1:9" x14ac:dyDescent="0.3">
      <c r="A26" s="39" t="s">
        <v>120</v>
      </c>
      <c r="B26" s="39" t="s">
        <v>120</v>
      </c>
      <c r="C26" s="40">
        <v>0</v>
      </c>
      <c r="D26" s="40">
        <v>0</v>
      </c>
      <c r="E26" s="40">
        <v>0</v>
      </c>
      <c r="F26" s="40">
        <v>0</v>
      </c>
      <c r="G26" s="40">
        <v>0</v>
      </c>
      <c r="H26" s="40">
        <v>0</v>
      </c>
      <c r="I26" s="40"/>
    </row>
    <row r="27" spans="1:9" ht="72" x14ac:dyDescent="0.3">
      <c r="A27" s="40"/>
      <c r="B27" s="40" t="s">
        <v>35</v>
      </c>
      <c r="C27" s="40">
        <v>5000</v>
      </c>
      <c r="D27" s="40">
        <v>555</v>
      </c>
      <c r="E27" s="40">
        <v>0</v>
      </c>
      <c r="F27" s="40">
        <v>11</v>
      </c>
      <c r="G27" s="40">
        <v>11</v>
      </c>
      <c r="H27" s="40">
        <v>17</v>
      </c>
      <c r="I27" s="40" t="s">
        <v>36</v>
      </c>
    </row>
    <row r="28" spans="1:9" ht="72" x14ac:dyDescent="0.3">
      <c r="A28" s="40"/>
      <c r="B28" s="40" t="s">
        <v>37</v>
      </c>
      <c r="C28" s="40">
        <v>10000</v>
      </c>
      <c r="D28" s="40">
        <v>1250</v>
      </c>
      <c r="E28" s="40">
        <v>0</v>
      </c>
      <c r="F28" s="40">
        <v>11</v>
      </c>
      <c r="G28" s="40">
        <v>11</v>
      </c>
      <c r="H28" s="40">
        <v>17</v>
      </c>
      <c r="I28" s="40" t="s">
        <v>36</v>
      </c>
    </row>
    <row r="29" spans="1:9" ht="72" x14ac:dyDescent="0.3">
      <c r="A29" s="40"/>
      <c r="B29" s="40" t="s">
        <v>38</v>
      </c>
      <c r="C29" s="40">
        <v>30000</v>
      </c>
      <c r="D29" s="43">
        <v>4000</v>
      </c>
      <c r="E29" s="40">
        <v>0</v>
      </c>
      <c r="F29" s="40">
        <v>11</v>
      </c>
      <c r="G29" s="40">
        <v>11</v>
      </c>
      <c r="H29" s="40">
        <v>17</v>
      </c>
      <c r="I29" s="40" t="s">
        <v>36</v>
      </c>
    </row>
    <row r="30" spans="1:9" ht="72" x14ac:dyDescent="0.3">
      <c r="A30" s="40"/>
      <c r="B30" s="40" t="s">
        <v>39</v>
      </c>
      <c r="C30" s="40">
        <v>50000</v>
      </c>
      <c r="D30" s="43">
        <v>7000</v>
      </c>
      <c r="E30" s="40">
        <v>0</v>
      </c>
      <c r="F30" s="40">
        <v>11</v>
      </c>
      <c r="G30" s="40">
        <v>11</v>
      </c>
      <c r="H30" s="40">
        <v>17</v>
      </c>
      <c r="I30" s="40" t="s">
        <v>36</v>
      </c>
    </row>
    <row r="31" spans="1:9" ht="72" x14ac:dyDescent="0.3">
      <c r="A31" s="40"/>
      <c r="B31" s="40" t="s">
        <v>40</v>
      </c>
      <c r="C31" s="40">
        <v>150000</v>
      </c>
      <c r="D31" s="43">
        <v>20000</v>
      </c>
      <c r="E31" s="40">
        <v>0</v>
      </c>
      <c r="F31" s="40">
        <v>10.5</v>
      </c>
      <c r="G31" s="40">
        <v>10.5</v>
      </c>
      <c r="H31" s="40">
        <v>17</v>
      </c>
      <c r="I31" s="40" t="s">
        <v>36</v>
      </c>
    </row>
    <row r="32" spans="1:9" ht="72" x14ac:dyDescent="0.3">
      <c r="A32" s="40"/>
      <c r="B32" s="40" t="s">
        <v>41</v>
      </c>
      <c r="C32" s="40">
        <v>200000</v>
      </c>
      <c r="D32" s="43">
        <v>28571</v>
      </c>
      <c r="E32" s="40">
        <v>0</v>
      </c>
      <c r="F32" s="40">
        <v>10.5</v>
      </c>
      <c r="G32" s="40">
        <v>10.5</v>
      </c>
      <c r="H32" s="40">
        <v>17</v>
      </c>
      <c r="I32" s="40" t="s">
        <v>36</v>
      </c>
    </row>
    <row r="33" spans="1:9" ht="72" x14ac:dyDescent="0.3">
      <c r="A33" s="40"/>
      <c r="B33" s="40" t="s">
        <v>42</v>
      </c>
      <c r="C33" s="40">
        <v>600000</v>
      </c>
      <c r="D33" s="43">
        <v>85714</v>
      </c>
      <c r="E33" s="40">
        <v>0</v>
      </c>
      <c r="F33" s="40">
        <v>10</v>
      </c>
      <c r="G33" s="40">
        <v>10</v>
      </c>
      <c r="H33" s="40">
        <v>17</v>
      </c>
      <c r="I33" s="40" t="s">
        <v>36</v>
      </c>
    </row>
    <row r="34" spans="1:9" ht="72" x14ac:dyDescent="0.3">
      <c r="A34" s="40"/>
      <c r="B34" s="40" t="s">
        <v>43</v>
      </c>
      <c r="C34" s="40">
        <v>700000</v>
      </c>
      <c r="D34" s="43">
        <v>100000</v>
      </c>
      <c r="E34" s="40">
        <v>0</v>
      </c>
      <c r="F34" s="40">
        <v>9</v>
      </c>
      <c r="G34" s="40">
        <v>9</v>
      </c>
      <c r="H34" s="40">
        <v>17</v>
      </c>
      <c r="I34" s="40" t="s">
        <v>36</v>
      </c>
    </row>
    <row r="35" spans="1:9" ht="72" x14ac:dyDescent="0.3">
      <c r="A35" s="40"/>
      <c r="B35" s="40" t="s">
        <v>44</v>
      </c>
      <c r="C35" s="40">
        <v>1000000</v>
      </c>
      <c r="D35" s="43">
        <v>142857</v>
      </c>
      <c r="E35" s="40">
        <v>0</v>
      </c>
      <c r="F35" s="40">
        <v>9</v>
      </c>
      <c r="G35" s="40">
        <v>9</v>
      </c>
      <c r="H35" s="40">
        <v>17</v>
      </c>
      <c r="I35" s="40" t="s">
        <v>36</v>
      </c>
    </row>
    <row r="36" spans="1:9" x14ac:dyDescent="0.3">
      <c r="I36" s="40"/>
    </row>
    <row r="37" spans="1:9" x14ac:dyDescent="0.3">
      <c r="A37" s="44" t="s">
        <v>120</v>
      </c>
      <c r="I37" s="40"/>
    </row>
    <row r="38" spans="1:9" x14ac:dyDescent="0.3">
      <c r="A38" t="s">
        <v>45</v>
      </c>
      <c r="I38" s="40"/>
    </row>
    <row r="39" spans="1:9" x14ac:dyDescent="0.3">
      <c r="A39" t="s">
        <v>46</v>
      </c>
    </row>
  </sheetData>
  <pageMargins left="0.70000000000000007" right="0.70000000000000007" top="0.75" bottom="0.75" header="0.30000000000000004" footer="0.30000000000000004"/>
  <pageSetup paperSize="0" fitToWidth="0" fitToHeight="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BB748690335E3F45B6D32F35E393220A" ma:contentTypeVersion="0" ma:contentTypeDescription="Создание документа." ma:contentTypeScope="" ma:versionID="79695b7229812c3da6832a15d046d42a">
  <xsd:schema xmlns:xsd="http://www.w3.org/2001/XMLSchema" xmlns:xs="http://www.w3.org/2001/XMLSchema" xmlns:p="http://schemas.microsoft.com/office/2006/metadata/properties" targetNamespace="http://schemas.microsoft.com/office/2006/metadata/properties" ma:root="true" ma:fieldsID="ad3e22c7cd2c031952bb0ace1fddabb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187D05-4C2B-4E63-A744-9E7999C023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5644EE5-12B6-4E5C-BD2F-15CDAD6FD77A}">
  <ds:schemaRefs>
    <ds:schemaRef ds:uri="http://schemas.microsoft.com/sharepoint/v3/contenttype/forms"/>
  </ds:schemaRefs>
</ds:datastoreItem>
</file>

<file path=customXml/itemProps3.xml><?xml version="1.0" encoding="utf-8"?>
<ds:datastoreItem xmlns:ds="http://schemas.openxmlformats.org/officeDocument/2006/customXml" ds:itemID="{5436081C-3563-487B-AFDE-BDAD241B0214}">
  <ds:schemaRefs>
    <ds:schemaRef ds:uri="http://purl.org/dc/dcmitype/"/>
    <ds:schemaRef ds:uri="http://schemas.microsoft.com/office/2006/documentManagement/types"/>
    <ds:schemaRef ds:uri="http://purl.org/dc/terms/"/>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1</vt:i4>
      </vt:variant>
    </vt:vector>
  </HeadingPairs>
  <TitlesOfParts>
    <vt:vector size="4" baseType="lpstr">
      <vt:lpstr>Заявление_Виртуальная_АТС</vt:lpstr>
      <vt:lpstr>Лист1</vt:lpstr>
      <vt:lpstr>Sheet2</vt:lpstr>
      <vt:lpstr>Заявление_Виртуальная_АТС!Область_печати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Vladimir Kim</dc:creator>
  <dc:description/>
  <cp:lastModifiedBy>Alexandr Murdassov</cp:lastModifiedBy>
  <dcterms:created xsi:type="dcterms:W3CDTF">2016-01-20T04:20:43Z</dcterms:created>
  <dcterms:modified xsi:type="dcterms:W3CDTF">2025-12-02T06:58:55Z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0x010100BB748690335E3F45B6D32F35E393220A</vt:lpwstr>
  </property>
  <property fmtid="{D5CDD505-2E9C-101B-9397-08002B2CF9AE}" pid="3" name="MSIP_Label_9cdd97af-22dc-49fa-ac47-e24224ce56c4_Enabled">
    <vt:lpwstr>true</vt:lpwstr>
  </property>
  <property fmtid="{D5CDD505-2E9C-101B-9397-08002B2CF9AE}" pid="4" name="MSIP_Label_9cdd97af-22dc-49fa-ac47-e24224ce56c4_SetDate">
    <vt:lpwstr>2025-07-04T12:44:11Z</vt:lpwstr>
  </property>
  <property fmtid="{D5CDD505-2E9C-101B-9397-08002B2CF9AE}" pid="5" name="MSIP_Label_9cdd97af-22dc-49fa-ac47-e24224ce56c4_Method">
    <vt:lpwstr>Standard</vt:lpwstr>
  </property>
  <property fmtid="{D5CDD505-2E9C-101B-9397-08002B2CF9AE}" pid="6" name="MSIP_Label_9cdd97af-22dc-49fa-ac47-e24224ce56c4_Name">
    <vt:lpwstr>General</vt:lpwstr>
  </property>
  <property fmtid="{D5CDD505-2E9C-101B-9397-08002B2CF9AE}" pid="7" name="MSIP_Label_9cdd97af-22dc-49fa-ac47-e24224ce56c4_SiteId">
    <vt:lpwstr>41149801-8e93-4eae-a438-1ff037fd4bdc</vt:lpwstr>
  </property>
  <property fmtid="{D5CDD505-2E9C-101B-9397-08002B2CF9AE}" pid="8" name="MSIP_Label_9cdd97af-22dc-49fa-ac47-e24224ce56c4_ActionId">
    <vt:lpwstr>037fd313-ff01-4e63-a799-1b9eb772cbb1</vt:lpwstr>
  </property>
  <property fmtid="{D5CDD505-2E9C-101B-9397-08002B2CF9AE}" pid="9" name="MSIP_Label_9cdd97af-22dc-49fa-ac47-e24224ce56c4_ContentBits">
    <vt:lpwstr>0</vt:lpwstr>
  </property>
  <property fmtid="{D5CDD505-2E9C-101B-9397-08002B2CF9AE}" pid="10" name="MSIP_Label_9cdd97af-22dc-49fa-ac47-e24224ce56c4_Tag">
    <vt:lpwstr>10, 3, 0, 1</vt:lpwstr>
  </property>
</Properties>
</file>