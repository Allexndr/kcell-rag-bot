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оборудование от партрнеров pbx\"/>
    </mc:Choice>
  </mc:AlternateContent>
  <xr:revisionPtr revIDLastSave="0" documentId="8_{7C7E107D-A9C0-4A57-A5FF-54BAB6B6C09E}" xr6:coauthVersionLast="47" xr6:coauthVersionMax="47" xr10:uidLastSave="{00000000-0000-0000-0000-000000000000}"/>
  <bookViews>
    <workbookView xWindow="-108" yWindow="-108" windowWidth="23256" windowHeight="12456" tabRatio="942" xr2:uid="{00000000-000D-0000-FFFF-FFFF00000000}"/>
  </bookViews>
  <sheets>
    <sheet name="Полный" sheetId="1" r:id="rId1"/>
    <sheet name="Аналоговые телефоны" sheetId="2" r:id="rId2"/>
    <sheet name="Цифровые телефоны" sheetId="17" r:id="rId3"/>
    <sheet name="SIP телефоны" sheetId="3" r:id="rId4"/>
    <sheet name="IP телефоны" sheetId="4" r:id="rId5"/>
    <sheet name="DECT телефоны" sheetId="5" r:id="rId6"/>
    <sheet name="Лицензии (ключи)" sheetId="6" r:id="rId7"/>
    <sheet name="Программное обеспечение" sheetId="7" r:id="rId8"/>
    <sheet name="Основной блок АТС" sheetId="8" r:id="rId9"/>
    <sheet name="Платы" sheetId="9" r:id="rId10"/>
    <sheet name="Блоки питания" sheetId="10" r:id="rId11"/>
    <sheet name="Роутеры (модемы)" sheetId="11" r:id="rId12"/>
    <sheet name="Коммутаторы" sheetId="12" r:id="rId13"/>
    <sheet name="Медиаконвертеры" sheetId="13" r:id="rId14"/>
    <sheet name="Шкафы" sheetId="15" r:id="rId15"/>
    <sheet name="VoIP Шлюзы" sheetId="19" r:id="rId16"/>
    <sheet name="GSM-шлюзы" sheetId="18" r:id="rId17"/>
    <sheet name="Материалы дя монтажа" sheetId="20" r:id="rId18"/>
    <sheet name="Серверы" sheetId="22" r:id="rId19"/>
    <sheet name="UPS" sheetId="23" r:id="rId20"/>
    <sheet name="Работы" sheetId="21" r:id="rId21"/>
  </sheets>
  <externalReferences>
    <externalReference r:id="rId22"/>
  </externalReferences>
  <definedNames>
    <definedName name="kurs">'[1]Полный прайс'!$E$1</definedName>
    <definedName name="Курс">Полный!$F$1</definedName>
    <definedName name="курс_рубля">Полный!$F$1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23" l="1"/>
  <c r="C117" i="23"/>
  <c r="C115" i="23"/>
  <c r="C114" i="23"/>
  <c r="C113" i="23"/>
  <c r="C112" i="23"/>
  <c r="C110" i="23"/>
  <c r="C109" i="23"/>
  <c r="C108" i="23"/>
  <c r="C107" i="23"/>
  <c r="C106" i="23"/>
  <c r="C105" i="23"/>
  <c r="C104" i="23"/>
  <c r="C103" i="23"/>
  <c r="C102" i="23"/>
  <c r="C101" i="23"/>
  <c r="C99" i="23"/>
  <c r="C98" i="23"/>
  <c r="C97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81" i="23"/>
  <c r="C79" i="23"/>
  <c r="C78" i="23"/>
  <c r="C76" i="23"/>
  <c r="C75" i="23"/>
  <c r="C74" i="23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D6" i="22"/>
  <c r="D5" i="22"/>
  <c r="D4" i="22"/>
  <c r="D3" i="22"/>
  <c r="D2" i="22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31" i="1"/>
  <c r="D1423" i="1"/>
  <c r="D1424" i="1"/>
  <c r="D1425" i="1"/>
  <c r="D1426" i="1"/>
  <c r="D1422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80" i="1"/>
  <c r="C1381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3" i="1"/>
  <c r="C1404" i="1"/>
  <c r="C1405" i="1"/>
  <c r="C1406" i="1"/>
  <c r="C1407" i="1"/>
  <c r="C1408" i="1"/>
  <c r="C1409" i="1"/>
  <c r="C1410" i="1"/>
  <c r="C1411" i="1"/>
  <c r="C1412" i="1"/>
  <c r="C1414" i="1"/>
  <c r="C1415" i="1"/>
  <c r="C1416" i="1"/>
  <c r="C1417" i="1"/>
  <c r="C1419" i="1"/>
  <c r="C1420" i="1"/>
  <c r="C1359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04" i="1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48" i="5"/>
  <c r="C47" i="5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42" i="8"/>
  <c r="C41" i="8"/>
  <c r="C40" i="8"/>
  <c r="C39" i="8"/>
  <c r="C38" i="8"/>
  <c r="C37" i="8"/>
  <c r="C36" i="8"/>
  <c r="C35" i="8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205" i="1"/>
  <c r="C2" i="10"/>
  <c r="C1" i="10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" i="9"/>
  <c r="C8" i="8"/>
  <c r="C5" i="8"/>
  <c r="C4" i="8"/>
  <c r="C7" i="8"/>
  <c r="C6" i="8"/>
  <c r="C3" i="8"/>
  <c r="C2" i="7"/>
  <c r="C1" i="7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9" i="4"/>
  <c r="C8" i="4"/>
  <c r="C7" i="4"/>
  <c r="C6" i="4"/>
  <c r="C5" i="4"/>
  <c r="C4" i="4"/>
  <c r="C3" i="4"/>
  <c r="C2" i="4"/>
  <c r="C14" i="3"/>
  <c r="C13" i="3"/>
  <c r="C12" i="3"/>
  <c r="C11" i="3"/>
  <c r="C10" i="3"/>
  <c r="C9" i="3"/>
  <c r="C8" i="3"/>
  <c r="C7" i="3"/>
  <c r="C6" i="3"/>
  <c r="C5" i="3"/>
  <c r="C4" i="3"/>
  <c r="C3" i="3"/>
  <c r="C2" i="3"/>
  <c r="C5" i="17"/>
  <c r="C4" i="17"/>
  <c r="C3" i="17"/>
  <c r="C2" i="17"/>
  <c r="C14" i="2"/>
  <c r="C13" i="2"/>
  <c r="C12" i="2"/>
  <c r="C10" i="2"/>
  <c r="C9" i="2"/>
  <c r="C8" i="2"/>
  <c r="C7" i="2"/>
  <c r="C6" i="2"/>
  <c r="C5" i="2"/>
  <c r="C4" i="2"/>
  <c r="C3" i="2"/>
  <c r="C2" i="2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35" i="1"/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5" i="1"/>
  <c r="D35" i="5"/>
  <c r="D33" i="5"/>
  <c r="D34" i="5"/>
  <c r="D32" i="5"/>
  <c r="D31" i="5"/>
  <c r="D30" i="5"/>
  <c r="D29" i="5"/>
  <c r="D28" i="5"/>
</calcChain>
</file>

<file path=xl/sharedStrings.xml><?xml version="1.0" encoding="utf-8"?>
<sst xmlns="http://schemas.openxmlformats.org/spreadsheetml/2006/main" count="4815" uniqueCount="2655">
  <si>
    <t>Наименование</t>
  </si>
  <si>
    <t>Panasonic</t>
  </si>
  <si>
    <t>Проектные АТС, Платы, Ключи Активации</t>
  </si>
  <si>
    <t>KX-NS0106X</t>
  </si>
  <si>
    <t>KX-NS0110X</t>
  </si>
  <si>
    <t>KX-NS0111X</t>
  </si>
  <si>
    <t>KX-NS0112X</t>
  </si>
  <si>
    <t>KX-NS0130X</t>
  </si>
  <si>
    <t>KX-NS0132X</t>
  </si>
  <si>
    <t>KX-NS0135X</t>
  </si>
  <si>
    <t>KX-NS0136X</t>
  </si>
  <si>
    <t>KX-NS0137X</t>
  </si>
  <si>
    <t>KX-NS0161X</t>
  </si>
  <si>
    <t>KX-NS0180X</t>
  </si>
  <si>
    <t>KX-NS0280X</t>
  </si>
  <si>
    <t>KX-NS0290CE</t>
  </si>
  <si>
    <t>KX-NS8290CE</t>
  </si>
  <si>
    <t>KX-NSA010W</t>
  </si>
  <si>
    <t>KX-NSA020W</t>
  </si>
  <si>
    <t>KX-NSA201W</t>
  </si>
  <si>
    <t>KX-NSA205W</t>
  </si>
  <si>
    <t>KX-NSA210W</t>
  </si>
  <si>
    <t>KX-NSA240W</t>
  </si>
  <si>
    <t>KX-NSA249W</t>
  </si>
  <si>
    <t>KX-NSA301W</t>
  </si>
  <si>
    <t>KX-NSA401W</t>
  </si>
  <si>
    <t>KX-NSA901W</t>
  </si>
  <si>
    <t>KX-NSA905W</t>
  </si>
  <si>
    <t>KX-NSA910W</t>
  </si>
  <si>
    <t>KX-NSA940W</t>
  </si>
  <si>
    <t>KX-NSA949W</t>
  </si>
  <si>
    <t>KX-NSE101W</t>
  </si>
  <si>
    <t>KX-NSE105W</t>
  </si>
  <si>
    <t>KX-NSE110W</t>
  </si>
  <si>
    <t>KX-NSE120W</t>
  </si>
  <si>
    <t>KX-NSE201W</t>
  </si>
  <si>
    <t>KX-NSE205W</t>
  </si>
  <si>
    <t>KX-NSE210W</t>
  </si>
  <si>
    <t>KX-NSE220W</t>
  </si>
  <si>
    <t>KX-NSF101W</t>
  </si>
  <si>
    <t>KX-NSF201W</t>
  </si>
  <si>
    <t>KX-NSM005W</t>
  </si>
  <si>
    <t>KX-NSM010W</t>
  </si>
  <si>
    <t>KX-NSM030W</t>
  </si>
  <si>
    <t>KX-NSM099W</t>
  </si>
  <si>
    <t>KX-NSM102W</t>
  </si>
  <si>
    <t>KX-NSM104W</t>
  </si>
  <si>
    <t>KX-NSM108W</t>
  </si>
  <si>
    <t>KX-NSM116W</t>
  </si>
  <si>
    <t>KX-NSM201W</t>
  </si>
  <si>
    <t>KX-NSM205W</t>
  </si>
  <si>
    <t>KX-NSM210W</t>
  </si>
  <si>
    <t>KX-NSM220W</t>
  </si>
  <si>
    <t>KX-NSM501W</t>
  </si>
  <si>
    <t>KX-NSM505W</t>
  </si>
  <si>
    <t>KX-NSM510W</t>
  </si>
  <si>
    <t>KX-NSM520W</t>
  </si>
  <si>
    <t>KX-NSM701W</t>
  </si>
  <si>
    <t>KX-NSM705W</t>
  </si>
  <si>
    <t>KX-NSM710W</t>
  </si>
  <si>
    <t>KX-NSM720W</t>
  </si>
  <si>
    <t>KX-NSN001W</t>
  </si>
  <si>
    <t>KX-NSN002W</t>
  </si>
  <si>
    <t>KX-NSN101W</t>
  </si>
  <si>
    <t>KX-NSN216W</t>
  </si>
  <si>
    <t>KX-NSP001W</t>
  </si>
  <si>
    <t>KX-NSP005W</t>
  </si>
  <si>
    <t>KX-NSP010W</t>
  </si>
  <si>
    <t>KX-NSP020W</t>
  </si>
  <si>
    <t>KX-NSP101W</t>
  </si>
  <si>
    <t>KX-NSP105W</t>
  </si>
  <si>
    <t>KX-NSP110W</t>
  </si>
  <si>
    <t>KX-NSP120W</t>
  </si>
  <si>
    <t>KX-NSP201W</t>
  </si>
  <si>
    <t>KX-NSP205W</t>
  </si>
  <si>
    <t>KX-NSP210W</t>
  </si>
  <si>
    <t>KX-NSP220W</t>
  </si>
  <si>
    <t>KX-NSU001W</t>
  </si>
  <si>
    <t>KX-NSU002W</t>
  </si>
  <si>
    <t>KX-NSU003W</t>
  </si>
  <si>
    <t>KX-NSU102W</t>
  </si>
  <si>
    <t>KX-NSU104W</t>
  </si>
  <si>
    <t>KX-NSU201W</t>
  </si>
  <si>
    <t>KX-NSU205W</t>
  </si>
  <si>
    <t>KX-NSU210W</t>
  </si>
  <si>
    <t>KX-NSU220W</t>
  </si>
  <si>
    <t>KX-NSU299W</t>
  </si>
  <si>
    <t>KX-NSU301W</t>
  </si>
  <si>
    <t>KX-NSU305W</t>
  </si>
  <si>
    <t>KX-NSU310W</t>
  </si>
  <si>
    <t>KX-NSU320W</t>
  </si>
  <si>
    <t>KX-NSU399W</t>
  </si>
  <si>
    <t>KX-NSX910W</t>
  </si>
  <si>
    <t>KX-NSX930W</t>
  </si>
  <si>
    <t>KX-NSX999W</t>
  </si>
  <si>
    <t>KX-TDE620BX</t>
  </si>
  <si>
    <t>KX-TDE6101RU</t>
  </si>
  <si>
    <t>KX-TDA6110XJ</t>
  </si>
  <si>
    <t>KX-TDA6111XJ</t>
  </si>
  <si>
    <t>KX-TDA6166XJ</t>
  </si>
  <si>
    <t>KX-TDA6178XJ</t>
  </si>
  <si>
    <t>KX-TDA6381X</t>
  </si>
  <si>
    <t>KX-TDA6382X</t>
  </si>
  <si>
    <t>Ранрейт АТС, Платы</t>
  </si>
  <si>
    <t>KX-NS5110X</t>
  </si>
  <si>
    <t>KX-NS5111X</t>
  </si>
  <si>
    <t>KX-NS5112X</t>
  </si>
  <si>
    <t>KX-NS5130X</t>
  </si>
  <si>
    <t>KX-NS5134X</t>
  </si>
  <si>
    <t>KX-NS5135X</t>
  </si>
  <si>
    <t>KX-NS5136X</t>
  </si>
  <si>
    <t>KX-NS5162X</t>
  </si>
  <si>
    <t>KX-NS5170X</t>
  </si>
  <si>
    <t>KX-NS5171X</t>
  </si>
  <si>
    <t>KX-NS5172X</t>
  </si>
  <si>
    <t>KX-NS5173X</t>
  </si>
  <si>
    <t>KX-NS5174X</t>
  </si>
  <si>
    <t>KX-NS5180X</t>
  </si>
  <si>
    <t>KX-NS5290CE</t>
  </si>
  <si>
    <t>KX-TDA0103XJ</t>
  </si>
  <si>
    <t>KX-TDA0104XJ</t>
  </si>
  <si>
    <t>KX-TDA0144XJ</t>
  </si>
  <si>
    <t>KX-TDA0161XJ</t>
  </si>
  <si>
    <t>KX-TDA0164XJ</t>
  </si>
  <si>
    <t>KX-TDA0166XJ</t>
  </si>
  <si>
    <t>KX-TDA0170XJ</t>
  </si>
  <si>
    <t>KX-TDA0171XJ</t>
  </si>
  <si>
    <t>KX-TDA0172XJ</t>
  </si>
  <si>
    <t>KX-TDA0173XJ</t>
  </si>
  <si>
    <t>KX-TDA0174XJ</t>
  </si>
  <si>
    <t>KX-TDA0177XJ</t>
  </si>
  <si>
    <t>KX-TDA0180X</t>
  </si>
  <si>
    <t>KX-TDA0181X</t>
  </si>
  <si>
    <t>KX-TDA0184XJ</t>
  </si>
  <si>
    <t>KX-TDA0188XJ</t>
  </si>
  <si>
    <t>KX-TDA0190XJ</t>
  </si>
  <si>
    <t>KX-TDA0191XJ</t>
  </si>
  <si>
    <t>KX-TDA0193XJ</t>
  </si>
  <si>
    <t>KX-TDA0196XJ</t>
  </si>
  <si>
    <t>KX-TDA0290CJ</t>
  </si>
  <si>
    <t>KX-TDA1178X</t>
  </si>
  <si>
    <t>KX-TDA1186X</t>
  </si>
  <si>
    <t>KX-TDE0101RU</t>
  </si>
  <si>
    <t>KX-TDE0105XJ</t>
  </si>
  <si>
    <t>KX-TDE0110XJ</t>
  </si>
  <si>
    <t>KX-TDE0111XJ</t>
  </si>
  <si>
    <t>KX-TDA0155CE</t>
  </si>
  <si>
    <t>KX-TDA0156CE</t>
  </si>
  <si>
    <t>KX-TDA0158CE</t>
  </si>
  <si>
    <t>KX-NS0154CE</t>
  </si>
  <si>
    <t>Ключи Активации NCP/TDE</t>
  </si>
  <si>
    <t>KX-NCS2010WJ</t>
  </si>
  <si>
    <t>KX-NCS2020WJ</t>
  </si>
  <si>
    <t>KX-NCS2201WJ</t>
  </si>
  <si>
    <t>KX-NCS2205WJ</t>
  </si>
  <si>
    <t>KX-NCS2210WJ</t>
  </si>
  <si>
    <t>KX-NCS2240WJ</t>
  </si>
  <si>
    <t>KX-NCS2249WJ</t>
  </si>
  <si>
    <t>KX-NCS2301WJ</t>
  </si>
  <si>
    <t>KX-NCS2401WJ</t>
  </si>
  <si>
    <t>KX-NCS2901WJ</t>
  </si>
  <si>
    <t>KX-NCS2905WJ</t>
  </si>
  <si>
    <t>KX-NCS2910WJ</t>
  </si>
  <si>
    <t>KX-NCS2940WJ</t>
  </si>
  <si>
    <t>KX-NCS2949WJ</t>
  </si>
  <si>
    <t>KX-NCS3102WJ</t>
  </si>
  <si>
    <t>KX-NCS3104WJ</t>
  </si>
  <si>
    <t>KX-NCS3201WJ</t>
  </si>
  <si>
    <t>KX-NCS3208WJ</t>
  </si>
  <si>
    <t>KX-NCS3501WJ</t>
  </si>
  <si>
    <t>KX-NCS3508WJ</t>
  </si>
  <si>
    <t>KX-NCS3701WJ</t>
  </si>
  <si>
    <t>KX-NCS3716WJ</t>
  </si>
  <si>
    <t>KX-NCS3910WJ</t>
  </si>
  <si>
    <t>KX-NCS4104WJ</t>
  </si>
  <si>
    <t>KX-NCS4201WJ</t>
  </si>
  <si>
    <t>KX-NCS4208WJ</t>
  </si>
  <si>
    <t>KX-NCS4501WJ</t>
  </si>
  <si>
    <t>KX-NCS4508WJ</t>
  </si>
  <si>
    <t>KX-NCS4701WJ</t>
  </si>
  <si>
    <t>KX-NCS4716WJ</t>
  </si>
  <si>
    <t>KX-NCS4910WJ</t>
  </si>
  <si>
    <t>KX-NCS4950WJ</t>
  </si>
  <si>
    <t>Терминалы, Аналоговые АТС, доп.оборудование</t>
  </si>
  <si>
    <t>KX-NT700RU</t>
  </si>
  <si>
    <t>KX-T7730RU</t>
  </si>
  <si>
    <t>KX-TCA185RU</t>
  </si>
  <si>
    <t>KX-TCA285RU</t>
  </si>
  <si>
    <t>KX-TE82460X</t>
  </si>
  <si>
    <t>KX-TE82474X</t>
  </si>
  <si>
    <t>KX-TE82480X</t>
  </si>
  <si>
    <t>KX-TE82491X</t>
  </si>
  <si>
    <t>KX-TE82494X</t>
  </si>
  <si>
    <t>KX-A406CE</t>
  </si>
  <si>
    <t>KX-A227X</t>
  </si>
  <si>
    <t>KX-A228XJ</t>
  </si>
  <si>
    <t>KX-A229XJ</t>
  </si>
  <si>
    <t>KX-A239BX</t>
  </si>
  <si>
    <t>KX-A423CE</t>
  </si>
  <si>
    <t>KX-WT115RU</t>
  </si>
  <si>
    <t>SIP Телефоны</t>
  </si>
  <si>
    <t>KX-TGP600RUB</t>
  </si>
  <si>
    <t>KX-TPA60RUB</t>
  </si>
  <si>
    <t>KX-UT133RU-B</t>
  </si>
  <si>
    <t>KX-UT136RU-B</t>
  </si>
  <si>
    <t>KX-UT248RU-B</t>
  </si>
  <si>
    <t>KX-UT670RU</t>
  </si>
  <si>
    <t>KX-UDT111RU</t>
  </si>
  <si>
    <t>Цена в тг.</t>
  </si>
  <si>
    <t>Yealink</t>
  </si>
  <si>
    <t xml:space="preserve">Yealink SIP VP-T49G </t>
  </si>
  <si>
    <t>CP860, конференц-телефон, PoE, запись разговора</t>
  </si>
  <si>
    <t>SIP-T19 Е2 SIP-телефон, 1 линия</t>
  </si>
  <si>
    <t>SIP-T19P E2 SIP-телефон, 1 линия, PoE</t>
  </si>
  <si>
    <t xml:space="preserve">SIP-T21 Е2 SIP-телефон, 2 линии, </t>
  </si>
  <si>
    <t>SIP-T21P E2 SIP-телефон, 2 линии, PoE</t>
  </si>
  <si>
    <t>SIP-T23P SIP-телефон, 3 линии, PoE</t>
  </si>
  <si>
    <t>SIP-T23G SIP-телефон, 3 линии, PoE, GigE</t>
  </si>
  <si>
    <t>SIP-T27P, 6 аккаунтов, BLF, PoE</t>
  </si>
  <si>
    <t>SIP-T28P SIP-телефон, 6 линий, BLF, PoE</t>
  </si>
  <si>
    <t>SIP-T29G, цветной экран, 16 аккаунтов, BLF, PoE, GigE</t>
  </si>
  <si>
    <t>SIP-T40P, 3 аккаунта, BLF,  PoE, без БП</t>
  </si>
  <si>
    <t>SIP-T41P SIP-телефон, 3 линии, BLF, PoE, без ПП</t>
  </si>
  <si>
    <t>SIP-T42G SIP-телефон, 3 линии, BLF, PoE, GigE, БП</t>
  </si>
  <si>
    <t>SIP-T46G SIP-телефон,  цветной экран, 6 линий, BLF, PoE, GigE, БП</t>
  </si>
  <si>
    <t>SIP-T48G, цветной сенсорный экран, 6 аккаунтов, BLF,  PoE, GigE, без БП</t>
  </si>
  <si>
    <t>W52P DECT SIP-телефон (база+трубка)</t>
  </si>
  <si>
    <t>W52H DECT SIP-трубка</t>
  </si>
  <si>
    <t>W56P DECT SIP-телефон (база+трубка)</t>
  </si>
  <si>
    <t>W56H DECT SIP-трубка</t>
  </si>
  <si>
    <t>CPE80, дополнительный микрофон для CP860</t>
  </si>
  <si>
    <t xml:space="preserve">Аксессуары </t>
  </si>
  <si>
    <t>BT40 Bluetooth USB-адаптер</t>
  </si>
  <si>
    <t>WiFi-адаптер Yealink WF40, шт</t>
  </si>
  <si>
    <t>EXP40 модуль расширения с LCD для телефона SIP-T46G</t>
  </si>
  <si>
    <t>RT10 DECT репитер для  SIP- телефона W52P</t>
  </si>
  <si>
    <t>EHS36 адаптер для беспроводных гарнитур Plantronics/Jabra для телефонов T28P/T26P</t>
  </si>
  <si>
    <t>Блок питания 5VDC,1.2A для SIP-T20(P), SIP-T22(P), SIP-T26(P), SIP-T28(P), SIP-T41P, SIP-T42G</t>
  </si>
  <si>
    <t>Кронштейн для крепления на стену модуля расширения EXP40</t>
  </si>
  <si>
    <t>Кронштейн для крепления на стену телефона SIP-T46G/SIP-T48G</t>
  </si>
  <si>
    <t>Кронштейн для крепления на стену телефонов  SIP-T42G и SIP-T41P</t>
  </si>
  <si>
    <t xml:space="preserve"> ГАРНИТУРЫ</t>
  </si>
  <si>
    <t>YHS32 гарнитура для телефонов T28P/T26P/T22P/T20P</t>
  </si>
  <si>
    <t>YEASTAR S20, поддержка FXO, FXS, GSM, BRI, (запись разговора)</t>
  </si>
  <si>
    <t>YEASTAR MyPBX Standard IP-АТС, 16*RJ11, поддержка FXO, FXS, GSM, BRI, UMTS</t>
  </si>
  <si>
    <t>YEASTAR S50, PRI, MFC R2, SS7, поддержка FXO, FXS, GSM, BRI (запись разговора)</t>
  </si>
  <si>
    <t>YEASTAR MyPBX U100, IP-АТС, 1U, 16*RJ11, поддержка FXO, FXS, GSM, BRI, UMTS</t>
  </si>
  <si>
    <t>YEASTAR MyPBX U200, IP-АТС, 1U, 16*RJ11, поддержка FXO, FXS, GSM, BRI, UMTS</t>
  </si>
  <si>
    <t>YEASTAR MyPBX U300 , IP-АТС, 1U haif-width, 1*E1, 2*FXO (запись разговора)</t>
  </si>
  <si>
    <t>YEASTAR MyPBX U500 , IP-АТС, 1U , 16*RJ11, поддержка FXO, FXS</t>
  </si>
  <si>
    <t>YEASTAR MyPBX U510, IP-АТС, 1U, 1*E1, 16*RJ11, поддержка FXO, FXS, GSM, BRI, UMTS</t>
  </si>
  <si>
    <t>YEASTAR MyPBX U520 , IP-АТС, 1U , 2*Е1,16*RJ11, поддержка FXO, FXS</t>
  </si>
  <si>
    <t>YEASTAR MyPBX N824 1U,24*FXS,8*FXO,4*SIPTrunk,8*SIPExt</t>
  </si>
  <si>
    <t>YEASTAR GSM модуль расширения на 1 GSM-канал</t>
  </si>
  <si>
    <t>YEASTAR B2 модуль расширения на 2 BRI-порта</t>
  </si>
  <si>
    <t>YEASTAR O2 модуль расширения на 2 FXO</t>
  </si>
  <si>
    <t>YEASTAR S2 модуль расширения на 2 FXS</t>
  </si>
  <si>
    <t>YEASTAR SO модуль расширения на 1 FXS + 1 FXO</t>
  </si>
  <si>
    <t>YEASTAR UMTS модуль расширения на 1 UMTS  порт</t>
  </si>
  <si>
    <t>D30 на 100 пользователей и 30 вызовов</t>
  </si>
  <si>
    <t>EX08 на 4 слота под модули S2, O2, SO, GSM/UMTS, B2</t>
  </si>
  <si>
    <t>EX30 на 1 поток E1</t>
  </si>
  <si>
    <t xml:space="preserve">Дополнительное ПО для АТС </t>
  </si>
  <si>
    <t>ПО Модуль Hotel для MyPBX  серии U100</t>
  </si>
  <si>
    <t>ПО Модуль Hotel для MyPBX  серии U200,U300</t>
  </si>
  <si>
    <t>ПО Модуль Hotel для MyPBX  серии U500,U510,U520</t>
  </si>
  <si>
    <t>ПО Модуль MyBill для MyPBX   серии U100</t>
  </si>
  <si>
    <t>ПО Модуль MyBill для MyPBX   серии U200, U300</t>
  </si>
  <si>
    <t>ПО Модуль MyBill для MyPBX   серии U500, U510,U520</t>
  </si>
  <si>
    <t xml:space="preserve">ПО Модуль MyClient MyPBX на 1 рабочее место (мин.кол-во от 4 лицензий) </t>
  </si>
  <si>
    <t>GSM-VoIP шлюзы</t>
  </si>
  <si>
    <t>VoIP-GSM шлюз Yeastar NeoGate TG100 на 1 GSM-канал</t>
  </si>
  <si>
    <t>VoIP-GSM шлюз Yeastar NeoGate TG200 на 2 GSM-канала</t>
  </si>
  <si>
    <t>VoIP-GSM шлюз Yeastar NeoGate TG400 на 4 GSM-канала</t>
  </si>
  <si>
    <t>VoIP-GSM шлюз Yeastar NeoGate TG800 на 8 GSM-каналов</t>
  </si>
  <si>
    <t>NeoGate TG1600 на 8 GSM-каналов (до 16 GSM-каналов)</t>
  </si>
  <si>
    <t>Модуль G8 на 8 GSM-каналов (для TG1600)</t>
  </si>
  <si>
    <t>YEASTAR NeoGate TE 100 VoIP- PRI  шлюз на 1 E1 канал</t>
  </si>
  <si>
    <t>YEASTAR IP-АТС и Интерфейсные платы</t>
  </si>
  <si>
    <t xml:space="preserve">VP-T49G </t>
  </si>
  <si>
    <t>CP860</t>
  </si>
  <si>
    <t>SIP-T19</t>
  </si>
  <si>
    <t>SIP-T19P</t>
  </si>
  <si>
    <t xml:space="preserve">SIP-T21 </t>
  </si>
  <si>
    <t>SIP-T21P</t>
  </si>
  <si>
    <t>SIP-T23P</t>
  </si>
  <si>
    <t>SIP-T23G</t>
  </si>
  <si>
    <t>SIP-T27P</t>
  </si>
  <si>
    <t>SIP-T28P</t>
  </si>
  <si>
    <t>SIP-T29G</t>
  </si>
  <si>
    <t>SIP-T40P</t>
  </si>
  <si>
    <t>SIP-T41P</t>
  </si>
  <si>
    <t>SIP-T42G</t>
  </si>
  <si>
    <t>SIP-T46G</t>
  </si>
  <si>
    <t>SIP-T48G</t>
  </si>
  <si>
    <t xml:space="preserve">W52P </t>
  </si>
  <si>
    <t>W52H</t>
  </si>
  <si>
    <t>W56P</t>
  </si>
  <si>
    <t>W56H</t>
  </si>
  <si>
    <t>CPE80</t>
  </si>
  <si>
    <t>BT40</t>
  </si>
  <si>
    <t>WF40</t>
  </si>
  <si>
    <t>EXP20</t>
  </si>
  <si>
    <t>EXP20 модуль расширения для телефонов</t>
  </si>
  <si>
    <t>EXP40</t>
  </si>
  <si>
    <t>RT10</t>
  </si>
  <si>
    <t>EHS36</t>
  </si>
  <si>
    <t>5VDC</t>
  </si>
  <si>
    <t>Кронштейн</t>
  </si>
  <si>
    <t>YHS32</t>
  </si>
  <si>
    <t>S20</t>
  </si>
  <si>
    <t>S50</t>
  </si>
  <si>
    <t>U200</t>
  </si>
  <si>
    <t>U300</t>
  </si>
  <si>
    <t>U500</t>
  </si>
  <si>
    <t>U510</t>
  </si>
  <si>
    <t>U520</t>
  </si>
  <si>
    <t>N824</t>
  </si>
  <si>
    <t>GSM</t>
  </si>
  <si>
    <t>B2</t>
  </si>
  <si>
    <t>S2</t>
  </si>
  <si>
    <t>SO</t>
  </si>
  <si>
    <t>UMTS</t>
  </si>
  <si>
    <t>O2</t>
  </si>
  <si>
    <t>U100</t>
  </si>
  <si>
    <t>Standard</t>
  </si>
  <si>
    <t>D30</t>
  </si>
  <si>
    <t>EX08</t>
  </si>
  <si>
    <t xml:space="preserve">EX30 </t>
  </si>
  <si>
    <t>ПО</t>
  </si>
  <si>
    <t>TG100</t>
  </si>
  <si>
    <t>TG200</t>
  </si>
  <si>
    <t>TG400</t>
  </si>
  <si>
    <t>TG800</t>
  </si>
  <si>
    <t>TG1600</t>
  </si>
  <si>
    <t>G8</t>
  </si>
  <si>
    <t>TE 100</t>
  </si>
  <si>
    <t xml:space="preserve">KX-NS1000UC IP-АТС </t>
  </si>
  <si>
    <t>KX-NS1000UC</t>
  </si>
  <si>
    <t>KX-NS500UC IP-АТС</t>
  </si>
  <si>
    <t>KX-NS500UC</t>
  </si>
  <si>
    <t xml:space="preserve">KX-NS520UC </t>
  </si>
  <si>
    <t xml:space="preserve">KX-NS520UC блок расширения, начальная емкость: 0 внешних и 16 внутренних аналоговых абонентов </t>
  </si>
  <si>
    <t>KX-TDE600UC IP АТС</t>
  </si>
  <si>
    <t>KX-TDE600UC</t>
  </si>
  <si>
    <t xml:space="preserve">KX-TDE620BX Блок расширения </t>
  </si>
  <si>
    <t>KX-TG1712 DECT телефон / CAB</t>
  </si>
  <si>
    <t>KX-TG2512 DECT телефон / CAT</t>
  </si>
  <si>
    <t>KX-TG6821 DECT телефон / CAM</t>
  </si>
  <si>
    <t xml:space="preserve">KX-TG8151CAB DECT телефон / </t>
  </si>
  <si>
    <t xml:space="preserve">KX-TG8161CAB DECT телефон / </t>
  </si>
  <si>
    <t xml:space="preserve">KX-TG8551CAB DECT телефон / </t>
  </si>
  <si>
    <t xml:space="preserve">KX-TG8621UAM DECT телефон / </t>
  </si>
  <si>
    <t xml:space="preserve">KX-TGA915EXS Skype USB адаптер / </t>
  </si>
  <si>
    <t xml:space="preserve">KX-TGB210CAB DECT телефон / </t>
  </si>
  <si>
    <t>KX-TGC310 DECT телефон / UCC</t>
  </si>
  <si>
    <t>KX-TGC310 DECT телефон / UCY</t>
  </si>
  <si>
    <t xml:space="preserve">KX-TGF320UCM DECT телефон / </t>
  </si>
  <si>
    <t xml:space="preserve">KX-TGH210UAB DECT телефон / </t>
  </si>
  <si>
    <t xml:space="preserve">KX-TGH212UAB DECT телефон / </t>
  </si>
  <si>
    <t xml:space="preserve">KX-TGH220UAB DECT телефон / </t>
  </si>
  <si>
    <t xml:space="preserve">KX-TGJ310UCB DECT телефон / </t>
  </si>
  <si>
    <t xml:space="preserve">KX-TGJ320UCB DECT телефон / </t>
  </si>
  <si>
    <t>Дополнительные трубки</t>
  </si>
  <si>
    <t xml:space="preserve">KX-TGA20RUB Брелок-искатель / </t>
  </si>
  <si>
    <t xml:space="preserve">KX-TGA681RUB  Дополнительная трубка / </t>
  </si>
  <si>
    <t xml:space="preserve">KX-TGA850RUB Дополнительная трубка / </t>
  </si>
  <si>
    <t>Проводные телефоны</t>
  </si>
  <si>
    <t>KX-TS2362 Проводной телефон / CAW</t>
  </si>
  <si>
    <t>KX-TS2363 Проводной телефон / CAW</t>
  </si>
  <si>
    <t xml:space="preserve">KX-TS2368CAW Проводной телефон / </t>
  </si>
  <si>
    <t>KX-TS2388 Проводной телефон / CAB</t>
  </si>
  <si>
    <t xml:space="preserve">KX-TS2570RUW Проводной телефон / </t>
  </si>
  <si>
    <t>DECT телефоны</t>
  </si>
  <si>
    <t>KX-TG1611</t>
  </si>
  <si>
    <t>KX-TG1611 DECT телефон / CAH, CAR</t>
  </si>
  <si>
    <t>KX-TG1711 DECT телефон / CAB, CAJ</t>
  </si>
  <si>
    <t>KX-TG2511 DECT телефон / CAM, CAT</t>
  </si>
  <si>
    <t>KX-TG6811 DECT телефон / CAB, CAM</t>
  </si>
  <si>
    <t>KX-TS2350 Проводной телефон / CAB, CAC, CAW</t>
  </si>
  <si>
    <t>KX-TS2352 Проводной телефон / CAB, CAW</t>
  </si>
  <si>
    <t>KX-TS2356 Проводной телефон / CAB, CAW</t>
  </si>
  <si>
    <t>KX-TS2365 Проводной телефон / CAB, CAW</t>
  </si>
  <si>
    <t>KX-TS2350</t>
  </si>
  <si>
    <t>KX-TS2352</t>
  </si>
  <si>
    <t xml:space="preserve">KX-TS2356 </t>
  </si>
  <si>
    <t>KX-TS2362</t>
  </si>
  <si>
    <t xml:space="preserve">KX-TS2363 </t>
  </si>
  <si>
    <t>KX-TS2365</t>
  </si>
  <si>
    <t>KX-TS2368</t>
  </si>
  <si>
    <t>KX-TS2388</t>
  </si>
  <si>
    <t>KX-TS2570</t>
  </si>
  <si>
    <t>KX-TGA20RUB</t>
  </si>
  <si>
    <t>KX-TGA681RUB</t>
  </si>
  <si>
    <t xml:space="preserve">KX-TGA850RUB </t>
  </si>
  <si>
    <t>KX-TGJ320UCB</t>
  </si>
  <si>
    <t>KX-TGJ310UCB</t>
  </si>
  <si>
    <t>KX-TGH220UAB</t>
  </si>
  <si>
    <t>KX-TGH212UAB</t>
  </si>
  <si>
    <t>KX-TGH210UAB</t>
  </si>
  <si>
    <t>KX-TGF320UCM</t>
  </si>
  <si>
    <t>KX-TGC310</t>
  </si>
  <si>
    <t xml:space="preserve">KX-TGB210CAB </t>
  </si>
  <si>
    <t>KX-TGA915EXS</t>
  </si>
  <si>
    <t>KX-TG8621UAM</t>
  </si>
  <si>
    <t>KX-TG8551</t>
  </si>
  <si>
    <t>KX-TG8161CAB</t>
  </si>
  <si>
    <t>KX-TG8151CAB</t>
  </si>
  <si>
    <t>KX-TG6821</t>
  </si>
  <si>
    <t>KX-TG6811</t>
  </si>
  <si>
    <t>KX-TG2512</t>
  </si>
  <si>
    <t>KX-TG2511</t>
  </si>
  <si>
    <t>KX-TG1712</t>
  </si>
  <si>
    <t>KX-TG1711</t>
  </si>
  <si>
    <t>KX-NS0106X Плата интерфейса факса (факс-сервер)</t>
  </si>
  <si>
    <t xml:space="preserve">KX-NS0110X плата VoIP DSP (тип S) / </t>
  </si>
  <si>
    <t xml:space="preserve">KX-NS0111X плата VoIP DSP (тип M) / </t>
  </si>
  <si>
    <t xml:space="preserve">KX-NS0112X плата VoIP DSP (тип L) / </t>
  </si>
  <si>
    <t>KX-NS0130X Основная стековая плата</t>
  </si>
  <si>
    <t xml:space="preserve">KX-NS0131X Стековая плата для серии KX-NCP500-1000 / </t>
  </si>
  <si>
    <t>KX-NS0131X</t>
  </si>
  <si>
    <t xml:space="preserve">KX-NS0132X Стековая плата для серии KX-TDE/KX-TDA / </t>
  </si>
  <si>
    <t xml:space="preserve">KX-NS0135X Карта памяти, до 200 ч. сообщений голосовой почты / </t>
  </si>
  <si>
    <t xml:space="preserve">KX-NS0136X  Карта памяти (тип М), запись разговора на 450 часов / </t>
  </si>
  <si>
    <t xml:space="preserve">KX-NS0137X карта памяти до 1000 часов сообщений голосовой почты / </t>
  </si>
  <si>
    <t xml:space="preserve">KX-NS0154CE  IP-базовая станция DECT на 4 канала, возможность расширения до 8 каналов / </t>
  </si>
  <si>
    <t xml:space="preserve">KX-NS0161X Плата интерфейса домофона / </t>
  </si>
  <si>
    <t xml:space="preserve">KX-NS0180X Плата 2 порта внеш аналоговых линий с Caller ID, 1 PFT и 2 порта внутр линий с Caller ID / </t>
  </si>
  <si>
    <t xml:space="preserve">KX-NS0280X Плата цифровых интерфейсов ISDN BRI 4 порта, 2 порта внутренних линий с Caller ID / </t>
  </si>
  <si>
    <t xml:space="preserve">KX-NS0290CE PRI30 / </t>
  </si>
  <si>
    <t xml:space="preserve">KX-NSF101W Ключ активации для интерфейса CTI / </t>
  </si>
  <si>
    <t xml:space="preserve">KX-NSE220W WEB ключ активации 8-ми каналов на 20 базовых станций KX-NS0154CE / </t>
  </si>
  <si>
    <t xml:space="preserve">KX-NSE210W WEB ключ активации 8-ми каналов на 10 базовых станций KX-NS0154CE / </t>
  </si>
  <si>
    <t xml:space="preserve">KX-NSE205W WEB ключ активации 8-ми каналов на 5 базовых станций KX-NS0154CE / </t>
  </si>
  <si>
    <t xml:space="preserve">KX-NSE201W WEB ключ активации 8-ми каналов на 1 базовую станцию KX-NS0154CE / </t>
  </si>
  <si>
    <t xml:space="preserve">KX-NSE120W Ключ активации для мобильного внутреннего абонента для 20 пользователей / </t>
  </si>
  <si>
    <t xml:space="preserve">KX-NSE105W Ключ активации на 5 мобильных внутренних абонентов / </t>
  </si>
  <si>
    <t xml:space="preserve">KX-NSA401W WEB ключ активации Communication Assistant Operator Console / </t>
  </si>
  <si>
    <t xml:space="preserve">KX-NSA249W Ключ активации для CA PRO, для 128 пользователей / </t>
  </si>
  <si>
    <t xml:space="preserve">KX-NSA205W Communication Assistant PRO, лицензия на 5 пользователей / </t>
  </si>
  <si>
    <t xml:space="preserve">KX-NSM005W Ключ активации на 50 IP-телефонов / </t>
  </si>
  <si>
    <t>KX-NSM010W Ключ активации на 100 IP-телефонов</t>
  </si>
  <si>
    <t xml:space="preserve">KX-NSM030W Ключ активации на 300 IP-телефонов / </t>
  </si>
  <si>
    <t xml:space="preserve">KX-NSM099W Ключ активации до 1000 IP-телефонов / </t>
  </si>
  <si>
    <t xml:space="preserve">KX-NSM102W Ключ активации 2 внешних IP-линий (2 IP Trunk) / </t>
  </si>
  <si>
    <t xml:space="preserve">KX-NSM104W Ключ активации 4 внешних IP-линий (4 IP Trunk) / </t>
  </si>
  <si>
    <t xml:space="preserve">KX-NSM108W Ключ активации 8 внешних IP-линий (8 IP Trunk) / </t>
  </si>
  <si>
    <t xml:space="preserve">KX-NSM116W Ключ активации 16 внешних IP-линий / </t>
  </si>
  <si>
    <t xml:space="preserve">KX-NSM201W Ключ активации 1 IP-CT / IP-Softphone / SIP-телефон серии KX-UT / </t>
  </si>
  <si>
    <t xml:space="preserve">KX-NSM205W Ключ активации на 5 системных IP-телефонов или IP Softphone / </t>
  </si>
  <si>
    <t xml:space="preserve">KX-NSM210W Ключ активации 10 системных IP-телефонов или IP Softphone / </t>
  </si>
  <si>
    <t xml:space="preserve">KX-NSM501W Ключ активации 1 системный IP-телефон или SIP телефон Panasonic (1 IP PT) / </t>
  </si>
  <si>
    <t xml:space="preserve">KX-NSM505W Ключ активации 5 системных IP-телефонов или SIP телефонов Panasonic (5 IP PT) / </t>
  </si>
  <si>
    <t xml:space="preserve">KX-NSM510W Ключ активации на 10 IP-телефонов / </t>
  </si>
  <si>
    <t xml:space="preserve">KX-NSM520W Ключ активации 20 системных IP-телефонов / </t>
  </si>
  <si>
    <t xml:space="preserve">KX-NSM701W Ключ активации 1 внутреннего SIP-абонента (1 SIP Extension) / </t>
  </si>
  <si>
    <t xml:space="preserve">KX-NSM705W Ключ активации 5 внутреннего SIP-абонента (5 SIP Extension) / </t>
  </si>
  <si>
    <t xml:space="preserve">KX-NSM710W Ключ активации 10 SIP-телефонов / </t>
  </si>
  <si>
    <t xml:space="preserve">KX-NSM720W Ключ активации 20 внутренних SlP-абонентов / </t>
  </si>
  <si>
    <t xml:space="preserve">KX-NSN001W Ключ активации для сети One-look / </t>
  </si>
  <si>
    <t xml:space="preserve">KX-NSN002W Ключ активации для сети Q-SIG / </t>
  </si>
  <si>
    <t xml:space="preserve">KX-NSU001W Ключ активации для записи разговоров до 15 часов / </t>
  </si>
  <si>
    <t xml:space="preserve">KX-NSU002W Ключ активации для записи разговоров / </t>
  </si>
  <si>
    <t xml:space="preserve">KX-NSU104W Ключ активации 4 канала голосовой почты / </t>
  </si>
  <si>
    <t xml:space="preserve">KX-NSU201W 1 Ключ активации для уведомления об эл. сообщении / </t>
  </si>
  <si>
    <t xml:space="preserve">KX-NSU205W 5 Ключей активации для уведомления об эл. сообщении / </t>
  </si>
  <si>
    <t xml:space="preserve">KX-NSU210W 10 Ключей активации для уведомления об эл. сообщении / </t>
  </si>
  <si>
    <t xml:space="preserve">KX-NSU220W 20 Ключей активации для уведомления об эл. сообщении / </t>
  </si>
  <si>
    <t xml:space="preserve">KX-NSU299W Ключ активации UM / EMAIL / </t>
  </si>
  <si>
    <t xml:space="preserve">KX-NSU305W ключ функции записи разговора на 5 пользователей / </t>
  </si>
  <si>
    <t xml:space="preserve">KX-NSX999W Ключ увеличения емкости от 301 до 640 IP-телефонов / </t>
  </si>
  <si>
    <t>KX-TDA 6110 XJ Плата подключения блоков расширения</t>
  </si>
  <si>
    <t>KX-TDE6101RU Плата центрального процессора</t>
  </si>
  <si>
    <t>KX-TDA 6111 XJ Дополнительная плата системной шины (для 3-го и 4-го блоков)</t>
  </si>
  <si>
    <t>KX-TDA 6178 XJ Плата 24 внутренних (аналоговых) линий с поддержкой CID</t>
  </si>
  <si>
    <t xml:space="preserve">KX-TDA6381X 16-портовая плата внешних аналоговых линий, для TDE600, TDE620 / </t>
  </si>
  <si>
    <t xml:space="preserve">KX-TDA6382X 16-портовая плата внешних аналоговых линий с Caller ID / </t>
  </si>
  <si>
    <t xml:space="preserve">KX-NSA201W Communication Assistant PRO, лицензия на 1 пользователя / </t>
  </si>
  <si>
    <t xml:space="preserve">KX-NSA210W Communication Assistant PRO, лицензия на 10 пользователей / </t>
  </si>
  <si>
    <t xml:space="preserve">KX-NSA240W Communication Assistant PRO, лицензия на 40 пользователей / </t>
  </si>
  <si>
    <t xml:space="preserve">KX-NSA301W WEB для СА ACD Monitor, для 1 супервизора </t>
  </si>
  <si>
    <t xml:space="preserve">KX-NS8290CE Модуль расширения (PRI-адаптер) </t>
  </si>
  <si>
    <t>KX-NSA010W Panasonic Софт (WEB для СА Thin Client Server Connection)</t>
  </si>
  <si>
    <t>KX-NSA901W WEB ключ активациии  для СА Network Plug-in, на 1 пользователя</t>
  </si>
  <si>
    <t xml:space="preserve">KX-NSF201W Ключ активации Функции Расширенного Call-центра (ЦОВ) (Call Centre Enhance) </t>
  </si>
  <si>
    <t>KX-NSA905W WEB ключ активациии  для СА Network Plug-in, на 5 пользователей</t>
  </si>
  <si>
    <t>KX-NSA910W WEB ключ активациии  для СА Network Plug-in, на 10 пользователей</t>
  </si>
  <si>
    <t>KX-NSE101W Ключ активации для мобильного внутреннего абонента для 1 пользователя.</t>
  </si>
  <si>
    <t xml:space="preserve">KX-NSE110W Ключ активации на 10 мобильных внутренних абонентов / </t>
  </si>
  <si>
    <t>KX-NSA949W WEB ключ активациии  для СА Network Plug-in, на 128 пользователей</t>
  </si>
  <si>
    <t>KX-NSA940W WEB ключ активациии  для СА Network Plug-in, на 40 пользователей</t>
  </si>
  <si>
    <t>KW-NSM220W Ключ активации 20 IP-системных телефонов/IP-Softphone</t>
  </si>
  <si>
    <t xml:space="preserve">KX-NSN101W Ключ активации функции встроенного маршрутизатора (Built-in Router AK) </t>
  </si>
  <si>
    <t xml:space="preserve">KX-NSN216W Ключ активации VPN IPsec (16 сессий) </t>
  </si>
  <si>
    <t>KX-NSP001W Стандартный пакет ключей активации 1 пользователь</t>
  </si>
  <si>
    <t>KX-NSP005W Стандартный пакет ключей активации 5 пользователей</t>
  </si>
  <si>
    <t>KX-NSP010W Стандартный пакет ключей активации 10 пользователей</t>
  </si>
  <si>
    <t>KX-NSP020W Стандартный пакет ключей активации 20 пользователей</t>
  </si>
  <si>
    <t>KX-NSP101W Улучшенный пакет ключей активациия 1 пользователь</t>
  </si>
  <si>
    <t>KX-NSP105W Улучшенный пакет ключей активациия 5 пользователей</t>
  </si>
  <si>
    <t>KX-NSP110W Улучшенный пакет ключей активациия 10 пользователей</t>
  </si>
  <si>
    <t>KX-NSP120W Улучшенный пакет ключей активациия 20 пользователей</t>
  </si>
  <si>
    <t>KX-NSP201W Мобильный пакет Ключей Активации на 1 абонента</t>
  </si>
  <si>
    <t>KX-NSP205W Мобильный пакет Ключей Активации на 5 абонентов</t>
  </si>
  <si>
    <t>KX-NSP210W Мобильный пакет Ключей Активации на 10 абонентов</t>
  </si>
  <si>
    <t>KX-NSP220W Мобильный пакет Ключей Активации на 20 абонентов</t>
  </si>
  <si>
    <t>KX-NSU003W Ключ активации для сохранения сообщений</t>
  </si>
  <si>
    <t xml:space="preserve">KX-NSU102W Ключ активации 2 канала голосовой почты / </t>
  </si>
  <si>
    <t xml:space="preserve">KX-NSU301W ключ функции записи разговора на 1 пользователея / </t>
  </si>
  <si>
    <t xml:space="preserve">KX-NSU310W ключ функции записи разговора на 10 пользователей / </t>
  </si>
  <si>
    <t xml:space="preserve">KX-NSU320W ключ функции записи разговора на 20 пользователей / </t>
  </si>
  <si>
    <t xml:space="preserve">KX-NSU399W ключ функции записи разговора для всех пользователей / </t>
  </si>
  <si>
    <t>KX-NSX910W Ключ увеличения емкости от 51 до 100 IP-телефонов</t>
  </si>
  <si>
    <t>KX-NSX930W Ключ увеличения емкости от 101 до 300 IP-телефонов</t>
  </si>
  <si>
    <t>KX-TDA6166XJ: плата эхоподавления EECHO16</t>
  </si>
  <si>
    <t xml:space="preserve">KX-NS5110X Плата VoIP DSP процессор S-типа на 63 канала / </t>
  </si>
  <si>
    <t xml:space="preserve">KX-NS5111X Плата VoIP DSP процессор M-типа на 127 каналов / </t>
  </si>
  <si>
    <t xml:space="preserve">KX-NS5112X Плата VoIP DSP процессор L-типа на 254 канала / </t>
  </si>
  <si>
    <t xml:space="preserve">KX-NS5130X 3-портовая карта EXP-M для подключения блоков расширения / </t>
  </si>
  <si>
    <t xml:space="preserve">KX-NS5134X карта памяти XS-типа, 40 часов запись, для VM, ACD Report, SMDR / </t>
  </si>
  <si>
    <t xml:space="preserve">KX-NS5170X 4-портовая карта гибридных внутренних линий DHLC4 / </t>
  </si>
  <si>
    <t xml:space="preserve">KX-NS5171X 8-портовая карта цифровых внутренних линий DLC8 / </t>
  </si>
  <si>
    <t xml:space="preserve">KX-NS5173 Плата 8-и аналоговых внутренних линий с Caller ID / </t>
  </si>
  <si>
    <t xml:space="preserve">KX-NS5174X 16-портовая карта аналоговых внутренних линий Caller ID / </t>
  </si>
  <si>
    <t xml:space="preserve">KX-NS5180X 6-портовая карта аналоговых внешних линий LCOT6, Caller ID / </t>
  </si>
  <si>
    <t xml:space="preserve">KX-NS5290CE PRI30 / </t>
  </si>
  <si>
    <t>KX-NS5135X Память для хранения (тип S)</t>
  </si>
  <si>
    <t>KX-NS5162X Плата интерфейса домофона (DPH2)</t>
  </si>
  <si>
    <t>KX-NS5136X, карта тип M</t>
  </si>
  <si>
    <t>KX-NS5172X 16-портовая плата цифровых внутренних линий DLC16</t>
  </si>
  <si>
    <t>Panasonic КХ-TDA 0103XJ, Блок питания  типа  L (для KX-TDА100/200).</t>
  </si>
  <si>
    <t>Panasonic КХ-TDA 0104XJ Блок питания   (для KX-TDА100/200) тип М (средний)</t>
  </si>
  <si>
    <t>Panasonic КХ-TDA 0144XJ, плата 8 микросотовых станций</t>
  </si>
  <si>
    <t>Panasonic КХ-ТDА 0161XJ Плата 4 домофонов (для КХ-Т30865) (устанавливается на KX-TDA0190)</t>
  </si>
  <si>
    <t xml:space="preserve">                    KX-TDA0166XJ плата эхоподавления</t>
  </si>
  <si>
    <t>Panasonic КХ-ТDА 0170XJ, Плата на 8 внутренних гибридных портов(KX-TDA100/200)</t>
  </si>
  <si>
    <t>Panasonic КХ-ТDА 0171XJ, Плата на 8 внутренних цифровых портов(KX-TDA100/200)</t>
  </si>
  <si>
    <t>Panasonic КХ-ТDА 0172XJ, Плата на 16 внутренних цифровых портов(KX-TDA100/200)</t>
  </si>
  <si>
    <t>Panasonic КХ-ТDА 0173XJ, Плата на 8 аналоговых  портов  (KX-TDA100/200)</t>
  </si>
  <si>
    <t>Panasonic KX-TDA 0174XJ, Плата аналоговых внутренних линий (0*16) для KX-TDA100/200</t>
  </si>
  <si>
    <t>Panasonic KX-TDA0177XJ Плата на 16 аналоговых  портов  с Caller ID (KX-TDA100/200)</t>
  </si>
  <si>
    <t>Panasonic КХ-ТDА 0180X, Плата городских линий (8*0) для KX-TDA100/200</t>
  </si>
  <si>
    <t>Panasonic КХ-ТDА 0181X, Плата городских линий (16*0) для KX-TDA100/200</t>
  </si>
  <si>
    <t xml:space="preserve">                    KX-TDA0184XJ Плата 8 линий E&amp;M</t>
  </si>
  <si>
    <t>Panasonic КХ-ТDА 0190XJ, Плата-переходник (3 слота) для KX-TDA100/200</t>
  </si>
  <si>
    <t>Panasonic KX-TDА 0191XJ, Плата DISA/OGM (4 канала)  для KX-TDA100/200 (устанавливается на KX-TDA0190)</t>
  </si>
  <si>
    <t xml:space="preserve">                    KX-TDA0192XJ Плата речевой почты 2 канала</t>
  </si>
  <si>
    <t>Panasonic KX-TDА 0196XJ Плата RMT удаленного управления по модему для цифровых гибридных IP-ATC KX-TDA100 и KX-TDA200</t>
  </si>
  <si>
    <t>Panasonic KX-TDА 0290СJ, Плата Е1 ISDN PRI  для KX-TDA100/200</t>
  </si>
  <si>
    <t xml:space="preserve">                    KX-TDA1178X Плата 24 аналоговых внутренних линий с Caller ID</t>
  </si>
  <si>
    <t xml:space="preserve">                    KX-TDA1186X Плата 8 аналоговых внешних линий с Caller ID</t>
  </si>
  <si>
    <t>Panasonic KX-TDE0101RU Плата центрального процессора, 2 порта Ethernet 100Base-T (1 порт для администрирования), 2-канальная голосовая почта</t>
  </si>
  <si>
    <t>Panasonic KX-TDE0110XJ 16 канальная  карта DSP, Лицензия на 4-IP транков и 8-IP абонентов включена</t>
  </si>
  <si>
    <t>Panasonic KX-TDE0111XJ 64 канальная карта  DSP, Лицензия на 16-IP транков и 32-IP абонентов включена</t>
  </si>
  <si>
    <t xml:space="preserve">                    KX-TDA0155CE базовая станция DECT 2 канала</t>
  </si>
  <si>
    <t>Panasonic KX-TDA0156CE Базовая станция DECT (4 голосовых канала), добавлена возможность управлением вызовами через CTI</t>
  </si>
  <si>
    <t xml:space="preserve">                    KX-TDA0158CE Базовая станция DECT 8 каналов</t>
  </si>
  <si>
    <t>LG</t>
  </si>
  <si>
    <t>AR LDP-7224D</t>
  </si>
  <si>
    <t>AR LDP-7208D</t>
  </si>
  <si>
    <t>LDP-7248DSS</t>
  </si>
  <si>
    <t>iPECS-eMG80</t>
  </si>
  <si>
    <t>EMG80-KSUA</t>
  </si>
  <si>
    <t>EMG80-EKSU</t>
  </si>
  <si>
    <t>EMG80-SLB16</t>
  </si>
  <si>
    <t>EMG80-CH408</t>
  </si>
  <si>
    <t>EMG80-HYB8</t>
  </si>
  <si>
    <t>eMG80-WTIB4</t>
  </si>
  <si>
    <t>EMG80-VVMU</t>
  </si>
  <si>
    <t>iPECS-LIK</t>
  </si>
  <si>
    <t>LIK-MFIM50А</t>
  </si>
  <si>
    <t>LIK-MFIM100</t>
  </si>
  <si>
    <t>LIK-MFIM300</t>
  </si>
  <si>
    <t>LIK-MFIM600</t>
  </si>
  <si>
    <t>LIK-MFIM1200</t>
  </si>
  <si>
    <t>I300-DHE</t>
  </si>
  <si>
    <t>I300-DHLD</t>
  </si>
  <si>
    <t>I300-POE8</t>
  </si>
  <si>
    <t>LIK-1URMB</t>
  </si>
  <si>
    <t>LIK-ADPT</t>
  </si>
  <si>
    <t>LIK-DTIM8</t>
  </si>
  <si>
    <t>LIK-DTIM24</t>
  </si>
  <si>
    <t>LIK-LGCM4</t>
  </si>
  <si>
    <t>LIK-LGCM8</t>
  </si>
  <si>
    <t>LIK-MCIM</t>
  </si>
  <si>
    <t>LIK-MCKTE</t>
  </si>
  <si>
    <t>LIK-PRIM</t>
  </si>
  <si>
    <t>LIK-SLTM32</t>
  </si>
  <si>
    <t>LIK-SLTM4</t>
  </si>
  <si>
    <t>LIK-SLTM8</t>
  </si>
  <si>
    <t>LIK-VMIM</t>
  </si>
  <si>
    <t>LIK-VOIM24</t>
  </si>
  <si>
    <t>LIK-VOIM8</t>
  </si>
  <si>
    <t>LIK-WBRKE</t>
  </si>
  <si>
    <t>LIK-PSU</t>
  </si>
  <si>
    <t>LIK-WTIM4</t>
  </si>
  <si>
    <t>LIK-WTIM8</t>
  </si>
  <si>
    <t>iPECS-MG</t>
  </si>
  <si>
    <t>MG-AAIB</t>
  </si>
  <si>
    <t>MG-DTIB12 Modular</t>
  </si>
  <si>
    <t>MG-DTIB24</t>
  </si>
  <si>
    <t>MG-LCOB12</t>
  </si>
  <si>
    <t>MG-LCOB8</t>
  </si>
  <si>
    <t>MG-MODU</t>
  </si>
  <si>
    <t>MG-PRIB</t>
  </si>
  <si>
    <t>MG-PSU</t>
  </si>
  <si>
    <t>MG-SLIB12 Modular</t>
  </si>
  <si>
    <t>MG-SLIB24 Modular</t>
  </si>
  <si>
    <t>MG-VMIB</t>
  </si>
  <si>
    <t>MG-VOIB 24</t>
  </si>
  <si>
    <t>MG-VOIB 8</t>
  </si>
  <si>
    <t>MG-WTIB4</t>
  </si>
  <si>
    <t>MG-WTIB8</t>
  </si>
  <si>
    <t>eMG800-BKSU</t>
  </si>
  <si>
    <t>eMG800--EKSU</t>
  </si>
  <si>
    <t>eMG800--MPB</t>
  </si>
  <si>
    <t>eMG800-VOIВ128</t>
  </si>
  <si>
    <t>DECT</t>
  </si>
  <si>
    <t>GDC-450H RUSDA</t>
  </si>
  <si>
    <t>GDC-600BE (6-кан. База DECT)</t>
  </si>
  <si>
    <t>WIT-400HE</t>
  </si>
  <si>
    <t>LDP-9008 D</t>
  </si>
  <si>
    <t>LDP-9030 D</t>
  </si>
  <si>
    <t>LDP-9048 DSS</t>
  </si>
  <si>
    <t>LDP-7008D</t>
  </si>
  <si>
    <t>LDP-7024D</t>
  </si>
  <si>
    <t>LDP-7024LD</t>
  </si>
  <si>
    <t>Консоль LDP-7048DSS</t>
  </si>
  <si>
    <t>LIP-8002 AE</t>
  </si>
  <si>
    <t>LIP-8002 E</t>
  </si>
  <si>
    <t>LIP-ADPT(блок питания)</t>
  </si>
  <si>
    <t>LIP-8008 E</t>
  </si>
  <si>
    <t>LIP-8012 E</t>
  </si>
  <si>
    <t>LIP-8024 E</t>
  </si>
  <si>
    <t>LIP-8040 E</t>
  </si>
  <si>
    <t>LIP-8050 V (видеотелефон)</t>
  </si>
  <si>
    <t>Консоль LIP-8012 DSS</t>
  </si>
  <si>
    <t>Консоль LIP-8012 LSS</t>
  </si>
  <si>
    <t>Консоль LIP-8040 LSS</t>
  </si>
  <si>
    <t>Консоль LIP-8048 DSS</t>
  </si>
  <si>
    <t>SIP-телефоны</t>
  </si>
  <si>
    <t>ip8802A (SIP)</t>
  </si>
  <si>
    <t>LIP-9070 SIP, Android</t>
  </si>
  <si>
    <t>GDC-450H</t>
  </si>
  <si>
    <t>GDC-600BE</t>
  </si>
  <si>
    <t>LIP-9070 SIP</t>
  </si>
  <si>
    <t xml:space="preserve"> KX-NCS2010WJ (ПО Communication Assistant Тонкий клиент 1)</t>
  </si>
  <si>
    <t>KX-NCS2020WJ (WEB ПО Communication Assistant ключ активации CSTA Multiplexer)</t>
  </si>
  <si>
    <t>KX-NCS2201WJ (WEB ПО Communication Assistant 1 линия)</t>
  </si>
  <si>
    <t>KX-NCS2205WJ (WEB ПО Communication Assistant 1 линий)</t>
  </si>
  <si>
    <t>KX-NCS2210WJ (WEB ПО Communication Assistant 10 линий)</t>
  </si>
  <si>
    <t>KX-NCS2249WJ (WEB ПО Communication Assistant 128 линий)</t>
  </si>
  <si>
    <t>KX-NCS2240WJ (WEB ПО Communication Assistant 40 линий)</t>
  </si>
  <si>
    <t>KX-NCS2301WJ Panasonic (WEB ПО Communication Assistant Супервайзер)</t>
  </si>
  <si>
    <t xml:space="preserve"> KX-NCS2401WJ Panasonic (WEB ПО Communication Assistant Консоль)</t>
  </si>
  <si>
    <t>KX-NCS2901WJ Panasonic (WEB Ключ активации 1 сетевой пользователь)</t>
  </si>
  <si>
    <t>KX-NCS2905WJ Panasonic (WEB Ключ активации 5 сетевых пользователей)</t>
  </si>
  <si>
    <t>KX-NCS2910WJ Panasonic (WEB Ключ активации 10 сетевых пользователей)</t>
  </si>
  <si>
    <t>KX-NCS2949WJ (Ключ активации для Multiple CSTA Connection (CSTA Multiplexer)</t>
  </si>
  <si>
    <t>KX-NCS2940WJ Panasonic (WEB Ключ активации СА Thin Client Server Connection)</t>
  </si>
  <si>
    <t>KX-NCS3102WJ Ключ 2-х внешних IP-линий</t>
  </si>
  <si>
    <t>KX-NCS3104WJ ключ активации 4-х внешних IP-линий</t>
  </si>
  <si>
    <t xml:space="preserve">                    KX-NCS3201WJ ключ активации 1-го IP-системного телефона / IP-Softphone</t>
  </si>
  <si>
    <t xml:space="preserve">                    KX-NCS3208WJ ключ активации 8-ми IP-системных телефонов / IP-Softphone</t>
  </si>
  <si>
    <t xml:space="preserve">                    KX-NCS3501XJ ключ активации 1 IP-системного телефона</t>
  </si>
  <si>
    <t xml:space="preserve">                    KX-NCS3508WJ ключ активации 8-ми IP-системных телефонов</t>
  </si>
  <si>
    <t xml:space="preserve">                    KX-NCS3701WJ ключ активации 1 внутреннего SIP-абонента</t>
  </si>
  <si>
    <t xml:space="preserve">                    KX-NCS3716WJ Ключ активации 16-ти внутренних SIP-абонентов</t>
  </si>
  <si>
    <t xml:space="preserve">                    KX-NCS3910XJ ключ активации программного обеспечения с расширенными возможностями</t>
  </si>
  <si>
    <t xml:space="preserve">                    KX-NCS4104WJ Лицензия на 4 IP-транка (SIP или H323)</t>
  </si>
  <si>
    <t xml:space="preserve">                    KX-NCS4201WJ ключ активации1 IP-системного телефона или 1 IP Softphone</t>
  </si>
  <si>
    <t xml:space="preserve">                    KX-NCS4208WJ Лицензия на 8 IP-системных телефонов + 8 софтфонов</t>
  </si>
  <si>
    <t xml:space="preserve">                KX-NCS4508WJ Лицензия 8 IP-системных телефонов</t>
  </si>
  <si>
    <t xml:space="preserve">                    KX-NCS4701WJ Лицензия на 1 внутреннего SIP-абонента</t>
  </si>
  <si>
    <t xml:space="preserve">                    KX-NCS4716WJ Лицензия на 16 внутренних SIP-телефонов</t>
  </si>
  <si>
    <t xml:space="preserve">                    KX-NCS4910WJ Ключ активации расширенных функций для KX-TDE100 / TDE200</t>
  </si>
  <si>
    <t xml:space="preserve">                    KX-NCS4950WJ SD карта для расширенной версии ПО для TDE600</t>
  </si>
  <si>
    <t xml:space="preserve">                KX-NCS4501WJ Лицензия 1 IP-системный телефон</t>
  </si>
  <si>
    <t>KX-TDA0164XJ Panasonic Карта 4-х внешних датчиков и исполнительных устройств</t>
  </si>
  <si>
    <t>KX-DT521RU, RU-B</t>
  </si>
  <si>
    <t>KX-DT543RU, RU-B</t>
  </si>
  <si>
    <t>KX-DT546RU, RU-B</t>
  </si>
  <si>
    <t>KX-DT590RU, RU-B</t>
  </si>
  <si>
    <t>KX-NT505X, X-B</t>
  </si>
  <si>
    <t>KX-NT511ARUW, ARUB</t>
  </si>
  <si>
    <t>KX-NT543RU, RU-B</t>
  </si>
  <si>
    <t>KX-NT546RU, RU-B</t>
  </si>
  <si>
    <t>KX-NT551RU, RU-B</t>
  </si>
  <si>
    <t>KX-NT553RU, RU-B</t>
  </si>
  <si>
    <t>KX-NT556RU, RU-B</t>
  </si>
  <si>
    <t>KX-T7735RU, RU-B</t>
  </si>
  <si>
    <t>KX-T7740X, X-B</t>
  </si>
  <si>
    <t>KX-HDV100RU, RUB</t>
  </si>
  <si>
    <t>KX-HDV130RU, RUB</t>
  </si>
  <si>
    <t>KX-HDV230RU, RUB</t>
  </si>
  <si>
    <t>KX-HDV330RU, RUB</t>
  </si>
  <si>
    <t>KX-HDV430RU, RUB</t>
  </si>
  <si>
    <t>KX-HDV20RU, RUB</t>
  </si>
  <si>
    <t>KX-DT521 Цифровой системный телефон, большой ЖК-дисплей (1 строка) с подсветкой и с поддержкой кириллицы, спикерфон, 8 программируемых кнопок с двухцветной индикацией, 4 кнопки с изменяемой функцией (под дисплеем), 20 мелодий звонка, регулировка угла наклона аппарата и дисплея.</t>
  </si>
  <si>
    <t>KX-DT543 Цифровой системный телефон, большой ЖК-дисплей (1 строка) с подсветкой и с поддержкой кириллицы, спикерфон, 8 программируемых кнопок с двухцветной индикацией, 4 кнопки с изменяемой функцией (под дисплеем), 20 мелодий звонка, регулировка угла наклона аппарата и дисплея.</t>
  </si>
  <si>
    <t>KX-DT546 Цифровой системный телефон, большой ЖК-дисплей (6 строк) с подсветкой и с поддержкой кириллицы, поддержка беспроводных гарнитур стандарта Bluetooth*, 24 программируемых кнопки с двухцветной индикацией, спикерфон,  4 кнопки с изменяемой функцией (под дисплеем), 20 мелодий звонка, регулировка угла наклона аппарата и дисплея, возможность подключения 12-кнопочного модуля KX-NT303 или 60-кнопочного модуля KX-DT390.</t>
  </si>
  <si>
    <t>KX-DT590 DSS консоль на 48 кнопок, для DT54x</t>
  </si>
  <si>
    <t>KX-NT505 DSS консоль на 48 кнопок, для NT556/553</t>
  </si>
  <si>
    <t>KX-NT511A IP системный телефон, с блоком питания, 3 кнопки DSS, 1-строчный экран, 2 порта 100Base-TX</t>
  </si>
  <si>
    <t xml:space="preserve"> KX-NT543 IP системный телефон, 3-строчный LCD дисплей, 24 клавиш быстрого набора</t>
  </si>
  <si>
    <t>KX-NT546 IP системный телефон, 6-строчный LCD дисплей, 48 клавиш быстрого набора</t>
  </si>
  <si>
    <t>KX-NT551 IP системный телефон, 8 кнопок DSS, 1-строчный экран, 2 гигабитных порта с PoE</t>
  </si>
  <si>
    <t xml:space="preserve"> KX-NT553 IP системный телефон, c 3-строчным ЖК-дисплеем, 2 гигабитных порта с PoE</t>
  </si>
  <si>
    <t>KX-NT556 IP системный телефон, c 6-строчным ЖК-дисплеем, 2 гигабитных порта с PoE</t>
  </si>
  <si>
    <t xml:space="preserve">                    KX-NT700RU IP конференц-телефон</t>
  </si>
  <si>
    <t>Panasonic KX-T7730/CA Аналоговый системный телефон (4-проводный), ЖК-дисплей, спикерфон, 12 прогр кнопок линий/функций c двухцветной индикацией, индикатор вызова/сообщения, изменяемый угол наклона, разъём для подключения гарнитуры.</t>
  </si>
  <si>
    <t>Panasonic KX-T7735/RU Аналоговый системный телефон (4-проводный),только для KX-TE и KX-TDA, 3-строчный ЖК-дисплей, спикерфон, 12 прогр кнопок линий/функций c двухцветной индикацией(без индекации), индикатор вызова/сообщения, изменяемый угол наклона, разъём для подключения гарнитуры.</t>
  </si>
  <si>
    <t>Panasonic KX-T7740/X Консоль для аналоговых системных телефонов, 32 кнопок прямого доступа с двухцветной индикацией, 16 дополнительных программируемых кнопок, регулировка угла наклона.</t>
  </si>
  <si>
    <t xml:space="preserve">KX-TCA285RU Микросот. трубка / </t>
  </si>
  <si>
    <t>KX-TCA185RU Микросот. Трубка</t>
  </si>
  <si>
    <t xml:space="preserve">KX-WT115RU Микросот. трубка / </t>
  </si>
  <si>
    <t>KX-TE82460X плата адаптера домофона</t>
  </si>
  <si>
    <t>Panasonic KX-TE 82474X, плата 8 внутренних аналоговых линий</t>
  </si>
  <si>
    <t>Panasonic KX-TE 82480X, плата 2CO и 8 аналоговых линий</t>
  </si>
  <si>
    <t>Panasonic KX-TE 82491X, плата дополнительного канала DISA/OGM (180сек)</t>
  </si>
  <si>
    <t>Panasonic KX-TE 82494X, плата Caller ID (FSK/DTMF) для 3CO-линий</t>
  </si>
  <si>
    <t xml:space="preserve">KX-TEB308CA аналоговая АТС Panasonic малой емкости / </t>
  </si>
  <si>
    <t>KX-TEB308CA</t>
  </si>
  <si>
    <t xml:space="preserve">KX-A406CE DECT ретранслятор / </t>
  </si>
  <si>
    <t>Panasonic KX-A 227X, кабель для подключения резервного питания для KX-TA308/616</t>
  </si>
  <si>
    <t xml:space="preserve">                    KX-A228XJ кабель резервного питания S/M</t>
  </si>
  <si>
    <t xml:space="preserve">                    KX-A229XJ кабель резервного питания L</t>
  </si>
  <si>
    <t>KX-A239BX Блок питания для IP-телефонов NT3XX</t>
  </si>
  <si>
    <t xml:space="preserve">                    KX-A242X Крепление 19" для TDA200</t>
  </si>
  <si>
    <t>KX-A242X</t>
  </si>
  <si>
    <t xml:space="preserve">                    KX-A243X Крепление 19" для TDA100</t>
  </si>
  <si>
    <t>KX-A243X</t>
  </si>
  <si>
    <t xml:space="preserve">KX-A423CE Блок питания для SIP-телефонов серии KX-HDV13x / </t>
  </si>
  <si>
    <t xml:space="preserve">KX-TGP600RUB SIP-DECT телефон / </t>
  </si>
  <si>
    <t xml:space="preserve">KX-TPA60RUB Дополнительная DECT трубка / </t>
  </si>
  <si>
    <t xml:space="preserve">KX-UT133RU-B Проводной SIP-телефон / </t>
  </si>
  <si>
    <t xml:space="preserve">KX-UT136RU-B Проводной SIP-телефон / </t>
  </si>
  <si>
    <t xml:space="preserve">KX-UT248RU-B Проводной SIP-телефон / </t>
  </si>
  <si>
    <t xml:space="preserve">KX-UT670RU Проводной SIP-телефон / </t>
  </si>
  <si>
    <t xml:space="preserve">KX-HDV100RU Проводной SIP-телефон 2.3-дюйм, 1 линия, 1 порт, память 500 номеров, блок питания в комп / </t>
  </si>
  <si>
    <t xml:space="preserve">KX-HDV130RU Проводной SIP-телефон 2.3-дюйм, 2 линии, 2 порта, PoE, громкая связь, память 500 номеров / </t>
  </si>
  <si>
    <t xml:space="preserve">KX-HDV230RU Проводной SIP-телефон 2.3-дюйм, 6 линий, 2 порта, PoE, громкая связь, память 500 номеров / </t>
  </si>
  <si>
    <t xml:space="preserve">KX-HDV330RU Проводной SIP-телефон 4.3-дюйм,12 линий, 2 порта, PoE, громкая связь, память 500 номеров / </t>
  </si>
  <si>
    <t xml:space="preserve">KX-HDV430RUB Проводной SIP-телефон </t>
  </si>
  <si>
    <t xml:space="preserve">KX-HDV20RUB Консоль для SIP‑телефонов Panasonic KX‑HDV230 и KX-HDV330 / </t>
  </si>
  <si>
    <t xml:space="preserve">KX-UDT111RU микросотовый SIP- DECT телефон / </t>
  </si>
  <si>
    <t>EMG80-CS416</t>
  </si>
  <si>
    <t>Базовый блок (4CO,1DKT,7DKT/SLT,2(8)VoIP,2(4)VM), 2 слота расширения</t>
  </si>
  <si>
    <t>Блок расширения (4CO, 8DKT/SLT), 2 слота расширения</t>
  </si>
  <si>
    <t>Плата (4 внеш.лин., 16 аналог.абон.) макс.одна на блок KSU/EKSU</t>
  </si>
  <si>
    <t>Плата (16 аналог.абон.) макс.одна на блок KSU/EKSU</t>
  </si>
  <si>
    <t xml:space="preserve">Плата (4 внеш. лин., 8 гибрид. абон.) </t>
  </si>
  <si>
    <t>Плата (8 гибрид. абон.)</t>
  </si>
  <si>
    <t>Плата DECT(4 порта баз.стан.) макс. одна на систему</t>
  </si>
  <si>
    <t>Плата IP телефонии и голосовой почты (8VoIP, 4VM), требуются ключи активации IPCLV/IPCLV/VMMLV</t>
  </si>
  <si>
    <t xml:space="preserve">cервер 300 портов (макс.транков 200, макс вн.300) 6VoIP VM(6ch.210min) PFTU(4) </t>
  </si>
  <si>
    <t xml:space="preserve">cервер 600 портов (макс.транков 400, макс вн.600) PFTU(4) </t>
  </si>
  <si>
    <t xml:space="preserve">cервер 1200 портов (макс.транков 800, макс вн.1200) PFTU(4) </t>
  </si>
  <si>
    <t>расширение DHLD на один модуль</t>
  </si>
  <si>
    <t>настольное крепление для одного одного модуля</t>
  </si>
  <si>
    <t>свитч с POE 8портов</t>
  </si>
  <si>
    <t>крепление для монтажа одного модуля в 19" стойку (содержит место под LIK-ADPT),(1 юнит)</t>
  </si>
  <si>
    <t>адаптер для модулей 48В.</t>
  </si>
  <si>
    <t>модуль 8-ми цифровых телефонов серии LDP</t>
  </si>
  <si>
    <t>модуль 24-х цифровых телефонов серии LDP, самостоятельно крепиться в 19" стойку, (1 юнит)</t>
  </si>
  <si>
    <t>модуль 8-ми городских линий (8CO)</t>
  </si>
  <si>
    <t>модуль 4-х городских линий (4CO)</t>
  </si>
  <si>
    <t>мультимедийный модуль (необходим для организации конференций)</t>
  </si>
  <si>
    <t>кабинет на 9модулей, включает один БП 250Вт. монтируется в 19" стойку, (6 юнитов)</t>
  </si>
  <si>
    <t>модуль ISDN PRI-1 поток</t>
  </si>
  <si>
    <t>модуль 32-х аналоговых телефонов, самостоятельно крепиться в 19" стойку, (1 юнит)</t>
  </si>
  <si>
    <t>модуль 4-х аналоговых телефонов (4SLT)</t>
  </si>
  <si>
    <t>модуль 8-ми аналоговых телефонов (8SLT)</t>
  </si>
  <si>
    <t>модуль голосовой почты (8 ch. 540 min)</t>
  </si>
  <si>
    <t>модуль VoIP, 24 порта</t>
  </si>
  <si>
    <t>модуль VoIP, 8 портов</t>
  </si>
  <si>
    <t>настенное крепление кабинета LIK-MCKTE</t>
  </si>
  <si>
    <t>дополнительный БП 250Вт. для MCKTE занимает одно место под модуль.</t>
  </si>
  <si>
    <t>модуль подключения 4-х ретрансляторов минисотовой связи DECT (GDC-400B/600B)</t>
  </si>
  <si>
    <t>модуль подключения 8-ми ретрансляторов минисотовой связи DECT (GDC-400B/600B)</t>
  </si>
  <si>
    <t>базовый блок (1 слот MPB, 5 универсальных слотов), (4 юнита)</t>
  </si>
  <si>
    <t>блок расширения (6 универсальных слотов), (4 юнита)</t>
  </si>
  <si>
    <t>центральный процессор 200(1200)портов (+6DT+6SLT, +4VM +4(8)VoIP, RS-232, USB, LAN) /30IPEXT /30MEX /2CC /2UCSDV /2UCSM</t>
  </si>
  <si>
    <t>плата VoIP 32(128) канала</t>
  </si>
  <si>
    <t>плата автоинформатора (8 каналов)</t>
  </si>
  <si>
    <t>плата цифровых телефонов (12  портов, подключение RJ-45)</t>
  </si>
  <si>
    <t>плата цифровых телефонов (24  порта, подключение RJ-45)</t>
  </si>
  <si>
    <t>плата городских линий (12 портов)</t>
  </si>
  <si>
    <t>плата городских линий (8 портов)</t>
  </si>
  <si>
    <t>плата модема (33Кбит/с)</t>
  </si>
  <si>
    <t>плата ISDN PRI (30B+D), Q.931</t>
  </si>
  <si>
    <t>источник питания 100-240В 47-63Гц 350Вт</t>
  </si>
  <si>
    <t>плата аналоговых телефонов (12  портов, подключение RJ-45)</t>
  </si>
  <si>
    <t>плата аналоговых телефонов (24  порта, подключение RJ-45)</t>
  </si>
  <si>
    <t>плата голосовой почты (8 каналов, 100 часов)</t>
  </si>
  <si>
    <t>плата VoIP 24 канала</t>
  </si>
  <si>
    <t>плата VoIP 8 каналов</t>
  </si>
  <si>
    <t>плата беспроводной связи DECT (4 порта базовых станций)</t>
  </si>
  <si>
    <t>плата беспроводной связи DECT (8 портов базовых станций)</t>
  </si>
  <si>
    <t>8 прог., 5 фикс. клавиш, ж/к дисплей (2 x 24)</t>
  </si>
  <si>
    <t>24 прог., 7 фикс. клавиш, ж/к дисплей (3 x 24)</t>
  </si>
  <si>
    <t>24 прог., 7 фикс. клавиш, графич. ж/к диспл.(6 lines)</t>
  </si>
  <si>
    <t>консоль, 48 прог. клавиш (7016D, 7024D, 7024LD)</t>
  </si>
  <si>
    <t>8 прог., 7 фикс. клавиш, ж/к дисплей (2 x 24)</t>
  </si>
  <si>
    <t>30 прог., 7 фикс. клавиш, 3 Soft клавиши, ж/к дисплей (3 x 24)</t>
  </si>
  <si>
    <t>консоль, 48 прог. клавиш (LDP-9030)</t>
  </si>
  <si>
    <t>AR LDP-7208D (цифр. телефон) 8 прог., 5 фикс. клавиш, ж/к дисплей (2 x 24)</t>
  </si>
  <si>
    <t>AR LDP-7224D (цифр. телефон) 24 прог., 7 фикс. клавиш, ж/к дисплей (3 x 24)</t>
  </si>
  <si>
    <t>LDP-7248DSS (консоль) 48 программируемых клавиш</t>
  </si>
  <si>
    <t>4 програмируемых кнопки, ЖК индикатор POE</t>
  </si>
  <si>
    <t>4 програмируемых кнопки, ЖК индикатор (адаптер в комплекте)</t>
  </si>
  <si>
    <t>8 програмируемых кнопки, ЖК индикатор (цвет черный)</t>
  </si>
  <si>
    <t>12 програмируемых кнопок, ЖК индикатор (цвет черный)</t>
  </si>
  <si>
    <t>24 програмируемых кнопки, ЖК индикатор (цвет черный)</t>
  </si>
  <si>
    <t xml:space="preserve">10 програмируемых кнопок, большой ЖК индикатор (цвет черный) </t>
  </si>
  <si>
    <t>консоль 12 кнопок (цвет черный)</t>
  </si>
  <si>
    <t>консоль 12 кнопок, ЖК индикатор (цвет черный)</t>
  </si>
  <si>
    <t>консоль 40 кнопок, ЖК индикатор (цвет черный) (питание РОЕ или LIK-ADPT, не в комплекте)</t>
  </si>
  <si>
    <t>консоль 48 кнопок (цвет черный) (адаптер в комплекте)</t>
  </si>
  <si>
    <t>SIP-телефон, 4 програмируемых кнопки, ЖК индикатор POE  w/oPOE w/ADPT</t>
  </si>
  <si>
    <t>Grandstream</t>
  </si>
  <si>
    <t>Телефоны</t>
  </si>
  <si>
    <t>GXP1610</t>
  </si>
  <si>
    <t>GXP1620</t>
  </si>
  <si>
    <t>GXP1625</t>
  </si>
  <si>
    <t>GXP1628</t>
  </si>
  <si>
    <t>GXP1630</t>
  </si>
  <si>
    <t>GXP2130</t>
  </si>
  <si>
    <t>GXP2140</t>
  </si>
  <si>
    <t>GXP2160</t>
  </si>
  <si>
    <t>GXP2170</t>
  </si>
  <si>
    <t>GAC2500</t>
  </si>
  <si>
    <t>GXP2200-EXT</t>
  </si>
  <si>
    <t>GXV3240</t>
  </si>
  <si>
    <t>GXV3275</t>
  </si>
  <si>
    <t>DP750</t>
  </si>
  <si>
    <t>DP720</t>
  </si>
  <si>
    <t>Grandstream GXP1610, Small-Medium Business HD IP Phone, 2 line keys with dual-color LED,dual switched100M/100M Ethernet ports, HD (with power supply)</t>
  </si>
  <si>
    <t>Grandstream GXP1620, Small-Medium Business HD IP Phone, 2 line keys with dual-color LED,dual switched100M/100M Ethernet ports, HD (with power supply)</t>
  </si>
  <si>
    <t>Grandstream GXP1625, PoE Small-Medium Business HD IP Phone, 2 line keys with dual-color LED,dual switched100M/100M Ethernet ports, HD (with power supply)</t>
  </si>
  <si>
    <t>Grandstream GXP1628, PoE Small-Medium Business HD IP Phone, 2 line keys with dual-color LED, 8 speed keysdual switched100M/100M Ethernet ports, HD (with power supply)</t>
  </si>
  <si>
    <t>Grandstream GXP1630, PoE Small-Medium Business HD IP Phone, 3 line keys with dual-color LED, 8 speed keysdual switched100M/100M Ethernet ports, HD (with power supply)</t>
  </si>
  <si>
    <t>Grandstream GXP2130, PoE 3-line Enterprise HD IP Phone, 320x240 TFT color LCD, Bluetooth, dual GigE ports with 802.3af PoE, (with power supply)</t>
  </si>
  <si>
    <t>Grandstream GXP2140, PoE 4-line Enterprise HD IP Phone, 480x272 TFT color LCD, Bluetooth dual GigE ports with 802.3af PoE, Bluetooth, USB, (with power supply)</t>
  </si>
  <si>
    <t>Grandstream GXP2160, PoE 6-line Enterprise HD IP Phone, 480x272 TFT color LCD, 24+6 speed keys, Bluetooth, dual GigE ports with 802.3af PoE, Bluetooth, USB, (with power supply)</t>
  </si>
  <si>
    <t>Grandstream GXP2170, PoE 12-line Enterprise HD IP Phone, 480x272 TFT color LCD, 48 virtual speed keys, dual GigE with 802.3af PoE, Bluetooth, USB, (with power supply)</t>
  </si>
  <si>
    <t>Grandstream GAC2500, PoE 6-line Enterprise IP Multimedia Conference Phone, Android OS, 6 SIP Accounts and 7-way voice conferencing, Wi-Fi, Bluetooth, 3.5mm audio port, 3 cardioid microphones, HD Voice, 4.3" capasitive touch screen color LCD (800x480), Dual 100M/1000M Ethernet 802.3at PoE+ Class4</t>
  </si>
  <si>
    <t>Expansion Module for GXP2200 and GXP2140, 20 programmable buttons</t>
  </si>
  <si>
    <t>Grandstream GXV3240, Android IP Multimedia Video Phone, 4.3” capacitive  screen color LCD (480x272), 1.3M camera, Skype, Dual switched 10M/100/1000M Ethernet, SD/MMC/SDHC, USB (with power supply)</t>
  </si>
  <si>
    <t>Grandstream GXV3275, Android IP Multimedia Video Phone, 7" capacitive touch screen color LCD (1024x600), 1.3M pixel CMOS camera, Skype, Dual switched 10M/100/1000M Ethernet ports with integrated PoE, integrated WiFi (802.11b/g/n), Dual USB ports, SD/MMC/SDHC, headset, stereo audio output, video output, Multi-language, full Web browser, weather, news, stocks, currency, world clock, calendar, games, Google Voice, Internet radio, YouTube, movie trailer, Last.fm, digital photo frame, photo album integration with Yahoo Flickr/Photobucket/Phanfare, Yahoo/MSN/Google IM (pending), Facebook and Twitter (pending), virtual BLF keys, SDK/API, etc.</t>
  </si>
  <si>
    <t>Беспроводные DECT решения</t>
  </si>
  <si>
    <t>Grandstream DP720, Wireless DECT Phone, Colour Display, With cgarger and Power Supply</t>
  </si>
  <si>
    <t>Шлюзы</t>
  </si>
  <si>
    <t>HT701</t>
  </si>
  <si>
    <t>HandyTone 701, 1 FXS port, Linux based, IPv6, Tr069, TLS/SRTP/HTTPS, Fax, 1 Ethernet port</t>
  </si>
  <si>
    <t>HT702</t>
  </si>
  <si>
    <t>HandyTone 702, 2 FXS port, Linux based, IPv6, Tr069, TLS/SRTP/HTTPS, Fax, 1 Ethernet port</t>
  </si>
  <si>
    <t>HT704</t>
  </si>
  <si>
    <t>HandyTone 704, 4 FXS port, Linux based, IPv6, Tr069, TLS/SRTP/HTTPS, Fax, 1 Ethernet port</t>
  </si>
  <si>
    <t>HT503</t>
  </si>
  <si>
    <t>HandyTone 503, 1 FXS port, 1 FXO port, 2 Ethernet ports</t>
  </si>
  <si>
    <t>GXW4008</t>
  </si>
  <si>
    <t>Grandstream GXW4008, 8 FXS ports, 2 RJ45 10/100Mbps (LAN/WAN), 1 RJ11 for Fail-Over PSTN</t>
  </si>
  <si>
    <t>GXW4104</t>
  </si>
  <si>
    <t>Grandstream GXW4104, 4 FXO ports, 2 RJ45 10/100Mbps (LAN/WAN)</t>
  </si>
  <si>
    <t>GXW4108</t>
  </si>
  <si>
    <t>Grandstream GXW4108, 8 FXO ports, 2 RJ45 10/100Mbps (LAN/WAN)</t>
  </si>
  <si>
    <t>GXW4216</t>
  </si>
  <si>
    <t>Grandstream GXW4216, 16 x RJ11 FXS ports and 1 x 50-pin Telco connector, 1 x 10M/100/1000 Mbps auto-sensing RJ45 port, G.711, G. 723, G.726</t>
  </si>
  <si>
    <t>GXW4224</t>
  </si>
  <si>
    <t>Grandstream GXW4224, 24 x RJ11 FXS ports and 1 x 50-pin Telco connector, 1 x 10M/100/1000 Mbps auto-sensing RJ45 port, G.711, G. 723, G.726</t>
  </si>
  <si>
    <t>GXW4232</t>
  </si>
  <si>
    <t>Grandstream GXW4232, 32 x RJ11 FXS ports and 2 x 50-pin Telco connector, 1 x 10M/100/1000 Mbps auto-sensing RJ45 port, G.711, G. 723, G.726</t>
  </si>
  <si>
    <t>GXW4248</t>
  </si>
  <si>
    <t>Grandstream GXW4248 2 x 50-pin Telco connectors, 1 x 10M/100/1000 Mbps auto-sensing RJ45 port, G.711, G. 723, G.726</t>
  </si>
  <si>
    <t>IP-АТС</t>
  </si>
  <si>
    <t>UCM6102</t>
  </si>
  <si>
    <t>Grandstream UCM6102, IP PBX appliance, 2 FXO ports, 2 FXS ports, Dual GigE RJ45 Ethernet ports LAN WAN, 500 SIP endpoint registrations, 30 concurrent calls, NAT Router, up to 25 conference attendees, IVR</t>
  </si>
  <si>
    <t>UCM6104</t>
  </si>
  <si>
    <t>Grandstream UCM6104, IP PBX appliance, 4 FXO ports, 2 FXS ports, Dual GigE RJ45 Ethernet ports with PoE Plus, 500 SIP endpoint registrations, 45 concurrent calls, up to 25 conference attendees, IVR</t>
  </si>
  <si>
    <t>UCM6108</t>
  </si>
  <si>
    <t>Grandstream UCM6108, IP PBX appliance, 8 FXO ports, 2 FXS ports, Single GigE RJ45 Ethernet port, 500 SIP endpoint registrations, 60 concurrent calls, up to 32 conference attendees, IVR</t>
  </si>
  <si>
    <t>UCM6116</t>
  </si>
  <si>
    <t>Grandstream UCM6116, IP PBX appliance, 16 FXO ports, 2 FXS ports, Single GigE RJ45 Ethernet port, 500 SIP endpoint registrations, 60 concurrent calls, up to 32 conference attendees, IVR</t>
  </si>
  <si>
    <t>UCM6510</t>
  </si>
  <si>
    <t>Grandstream UCM6510, IP PBX appliance, 1 E1/T1 port, 2 FXO ports, 2 FXS ports, 2000 SIP endpoint registrations, 200 concurrent calls, up to 64 conference attendees, IVR</t>
  </si>
  <si>
    <t>Цена в руб./дол.</t>
  </si>
  <si>
    <t>Телефоны LDP / LIP</t>
  </si>
  <si>
    <t>сервер 50 портов(макс.транков 42, макс вн.50)</t>
  </si>
  <si>
    <t>сервер 100 портов(макс.транков 42, макс вн.70)</t>
  </si>
  <si>
    <t xml:space="preserve">            Адаптеры</t>
  </si>
  <si>
    <t xml:space="preserve">DFE-520TX </t>
  </si>
  <si>
    <t xml:space="preserve">                D-Link DFE-520TX Сетевой адаптер</t>
  </si>
  <si>
    <t xml:space="preserve">DGE-528T </t>
  </si>
  <si>
    <t xml:space="preserve">                D-Link DGE-528T Сетевой адаптер 10/100/1000 для шины PCI</t>
  </si>
  <si>
    <t xml:space="preserve">DGE-530T </t>
  </si>
  <si>
    <t xml:space="preserve">                D-Link DGE-530T Сетевой адаптер PCI  10/100/1000 RJ-45</t>
  </si>
  <si>
    <t xml:space="preserve">DGE-550SX </t>
  </si>
  <si>
    <t xml:space="preserve">                D-Link DGE-550SX Сетевой адаптер PCI 10/100/1000  оптический</t>
  </si>
  <si>
    <t>DKT-200/A1A</t>
  </si>
  <si>
    <t xml:space="preserve">                D-Link DKT-200/A1A Гигабитный инжектор PoE</t>
  </si>
  <si>
    <t>DKT-50/A1A</t>
  </si>
  <si>
    <t xml:space="preserve">                D-Link DKT-50/A1A Гигабитный PoE-адаптер (выходное напряжение 5/9/12В DC)</t>
  </si>
  <si>
    <t>DWA-131/E1A</t>
  </si>
  <si>
    <t xml:space="preserve">                D-Link DWA-131/E1A Беспроводной USB-адаптер N300</t>
  </si>
  <si>
    <t>DWA-137/A1A</t>
  </si>
  <si>
    <t xml:space="preserve">                D-Link DWA-137/A1A Беспроводной 802.11n USB-адаптер с высоким коэффициентом усиления</t>
  </si>
  <si>
    <t xml:space="preserve">DWA-140 </t>
  </si>
  <si>
    <t xml:space="preserve">                D-Link DWA-140 беспроводный USB адаптер 300Мб</t>
  </si>
  <si>
    <t>DWA-160/RU/B2A</t>
  </si>
  <si>
    <t xml:space="preserve">                D-Link DWA-160/RU/B2A  Беспроводной двухдиапазонный USB-адаптер N300</t>
  </si>
  <si>
    <t>DWA-160/RU/C1A</t>
  </si>
  <si>
    <t xml:space="preserve">                D-Link DWA-160/RU/C1A  Беспроводной двухдиапазонный USB-адаптер N300</t>
  </si>
  <si>
    <t>DWA-525/B1A</t>
  </si>
  <si>
    <t xml:space="preserve">                D-Link DWA-525/B1A Беспроводной PCI Express адаптер N150</t>
  </si>
  <si>
    <t>DWA-548</t>
  </si>
  <si>
    <t xml:space="preserve">                D-Link DWA-548 беспроводный PCI Express адаптер 300Мб</t>
  </si>
  <si>
    <t xml:space="preserve">DWA-643 </t>
  </si>
  <si>
    <t xml:space="preserve">                D-Link DWA-643 Беспроводной ExpressCard-адаптер N300</t>
  </si>
  <si>
    <t xml:space="preserve">DWA-645 </t>
  </si>
  <si>
    <t xml:space="preserve">                D-Link DWA-645 беспроводный  CardBus адаптер 300Мб</t>
  </si>
  <si>
    <t>DXE-810S</t>
  </si>
  <si>
    <t xml:space="preserve">                D-Link DXE-810S Сетевой PCI Express адаптер с 1 портом 10GBase-X SFP+</t>
  </si>
  <si>
    <t xml:space="preserve">            Беспроводное оборудование</t>
  </si>
  <si>
    <t xml:space="preserve">ANT24-0800 </t>
  </si>
  <si>
    <t xml:space="preserve">                D-Link ANT24-0800 Внешняя всенаправленная пассивная антенна, 8 dBi</t>
  </si>
  <si>
    <t xml:space="preserve">ANT24-1200  </t>
  </si>
  <si>
    <t xml:space="preserve">                D-Link ANT24-1200  Направленная пассивная антенна, 12 dBi</t>
  </si>
  <si>
    <t xml:space="preserve">ANT24-1201 </t>
  </si>
  <si>
    <t xml:space="preserve">                D-Link ANT24-1201 Внешняя направленная пассивная антенна, 12 dBi</t>
  </si>
  <si>
    <t xml:space="preserve">ANT24-1202 </t>
  </si>
  <si>
    <t xml:space="preserve">                D-Link ANT24-1202 Внешняя всенаправленная пассивная антенна, 12 dBi</t>
  </si>
  <si>
    <t>ANT24-1400</t>
  </si>
  <si>
    <t xml:space="preserve">                D-Link ANT24-1400 Внешняя направленная пассивная антенна, 14 dBi</t>
  </si>
  <si>
    <t>ANT24-1600N</t>
  </si>
  <si>
    <t xml:space="preserve">                D-Link ANT24-1600N Внешняя направленная пассивная антенна двойной поляризации, 16 dBi</t>
  </si>
  <si>
    <t>ANT24-1800</t>
  </si>
  <si>
    <t xml:space="preserve">                D-Link ANT24-1800 Внешняя направленная пассивная антенна двойной поляризации, 18 dBi</t>
  </si>
  <si>
    <t xml:space="preserve">ANT24-2100  </t>
  </si>
  <si>
    <t xml:space="preserve">                D-Link ANT24-2100  Внешняя направленная пассивная антенна, 21 dBi</t>
  </si>
  <si>
    <t xml:space="preserve">ANT24-CB03N </t>
  </si>
  <si>
    <t xml:space="preserve">                D-Link ANT24-CB03N Кабель удлинительный для подкл антенн 3 м</t>
  </si>
  <si>
    <t xml:space="preserve">ANT24-CB06N </t>
  </si>
  <si>
    <t xml:space="preserve">                D-Link ANT24-CB06N Кабель удлинительный для подкл антенн 6 м</t>
  </si>
  <si>
    <t xml:space="preserve">ANT24-CB09N </t>
  </si>
  <si>
    <t xml:space="preserve">                D-Link ANT24-CB09N Кабель удлинительный для подкл антенн 9 м</t>
  </si>
  <si>
    <t>ANT24-ODU03M</t>
  </si>
  <si>
    <t xml:space="preserve">                D-Link ANT24-ODU03M Кабель для антенны длиной 0,3м с разъемами RP-N и N-типа </t>
  </si>
  <si>
    <t xml:space="preserve">ANT24-ODU1M </t>
  </si>
  <si>
    <t xml:space="preserve">                D-Link ANT24-ODU1M Кабель удлинительный для подкл антенн 1 м</t>
  </si>
  <si>
    <t>ANT24-ODU3M</t>
  </si>
  <si>
    <t xml:space="preserve">                D-Link ANT24-ODU3M Кабель для антенны длиной 3м с разъемами RP-N и N-типа </t>
  </si>
  <si>
    <t>ANT70-0800</t>
  </si>
  <si>
    <t xml:space="preserve">                D-Link ANT70-0800 Внешняя всенаправленная двухдипазонная пассивная антенна, 8/10 dBi</t>
  </si>
  <si>
    <t xml:space="preserve">ANT70-1000 </t>
  </si>
  <si>
    <t xml:space="preserve">                D-Link ANT70-1000 Внешняя направленная двухдипазонная пассивная антенна, 8/10 dBi</t>
  </si>
  <si>
    <t xml:space="preserve">ANT70-1800 </t>
  </si>
  <si>
    <t xml:space="preserve">                D-Link ANT70-1800 Внешняя направленная двухдипазонная пассивная антенна, 14/18 dBi</t>
  </si>
  <si>
    <t>DAP-1155</t>
  </si>
  <si>
    <t xml:space="preserve">                D-Link DAP-1155 Беспроводная точка доступа/мост Wireless 150, до 150Мбит/с</t>
  </si>
  <si>
    <t>DAP-1360/A/E1A</t>
  </si>
  <si>
    <t xml:space="preserve">                D-Link DAP-1360/A/E1A Беспроводная точка доступа 802.11n до 300Мб</t>
  </si>
  <si>
    <t>DAP-1360U/A1A</t>
  </si>
  <si>
    <t xml:space="preserve">                D-Link DAP-1360U/A1A Беспроводная точка доступа 802.11n до 300Мб</t>
  </si>
  <si>
    <t>DAP-1420/B1A</t>
  </si>
  <si>
    <t xml:space="preserve">                D-Link DAP-1420/B1A Беспроводная точка доступа / мост N300</t>
  </si>
  <si>
    <t>DAP-1513/A1A</t>
  </si>
  <si>
    <t xml:space="preserve">                D-Link DAP-1513/A1A Двухдиапазонный беспроводной 802.11n (2.4/5ГГц) медиамост, до 300 Мбит/с</t>
  </si>
  <si>
    <t>DAP-1533/RU/A1A</t>
  </si>
  <si>
    <t xml:space="preserve">                D-Link DAP-1533/RU/A1A Двухдиапазонный беспроводной 802.11n (2.4/5ГГц) медиамост, до 450 Мбит/с</t>
  </si>
  <si>
    <t>DAP-2310</t>
  </si>
  <si>
    <t xml:space="preserve">                D-Link DAP-2310 Беспроводная точка доступа 802.11b/g/n до 300Мбит  </t>
  </si>
  <si>
    <t>DAP-2330/A1A/PC</t>
  </si>
  <si>
    <t xml:space="preserve">                D-Link DAP-2330/A1A/PC Беспроводная точка доступа с поддержкой PoE</t>
  </si>
  <si>
    <t>DAP-2360</t>
  </si>
  <si>
    <t xml:space="preserve">                D-Link DAP-2360 Беспроводная точка доступа AirPremier  802.11b/g/n до 300Мбит  с поддержкой PoE</t>
  </si>
  <si>
    <t>DAP-2690/B1A</t>
  </si>
  <si>
    <t xml:space="preserve">                D-Link DAP-2690/B1A Беспроводная точка доступа 802.11n/а  с поддержкой PoE</t>
  </si>
  <si>
    <t xml:space="preserve">DAP-3310/RU/A2A </t>
  </si>
  <si>
    <t xml:space="preserve">                D-Link DAP-3310/RU/A2A Внешняя беспроводная 802.11n точка доступа, до 300 Мбит/с c потдержкой PoE</t>
  </si>
  <si>
    <t>DAP-3320/UPA/A1A</t>
  </si>
  <si>
    <t xml:space="preserve">                D-Link DAP-3320/UPA/A1A Внешняя беспроводная точка доступа с поддержкой PoE</t>
  </si>
  <si>
    <t>DAP-3410/RU/A1A</t>
  </si>
  <si>
    <t xml:space="preserve">                D-Link DAP-3410/RU/A1A Внешняя беспроводная точка доступа</t>
  </si>
  <si>
    <t>DAP-3690</t>
  </si>
  <si>
    <t xml:space="preserve">                D-Link DAP-3690 Внешняя беспроводная точка доступа/мост   5 ГГц (802.11a) c PoE</t>
  </si>
  <si>
    <t>DAP-3760</t>
  </si>
  <si>
    <t xml:space="preserve">                D-Link DAP-3760 Беспроводная точка доступа/мост 5 ГГц (802.11a) до 40 км</t>
  </si>
  <si>
    <t xml:space="preserve">DAP-3860 </t>
  </si>
  <si>
    <t xml:space="preserve">                D-Link DAP-3860 Беспроводная точка доступа/мост 5 ГГц (802.11a) до 100 км</t>
  </si>
  <si>
    <t>DPN-R5402/B1A</t>
  </si>
  <si>
    <t xml:space="preserve">                D-Link DPN-R5402/B1A Беспроводной 802.11n абонентский VoIP-шлюз GPON ONT Gigabit</t>
  </si>
  <si>
    <t>DWL-2600AP/A1A</t>
  </si>
  <si>
    <t xml:space="preserve">                D-Link DWL-2600AP/A1A  Унифицированная однодиапазонная точка доступа , до 300Мбит/с с PoE</t>
  </si>
  <si>
    <t xml:space="preserve">DWL-2600AP/A1A/PC </t>
  </si>
  <si>
    <t xml:space="preserve">                D-Link DWL-2600AP/A1A/PC  Унифицированная однодиапазонная точка доступа , до 300Мбит/с с PoE</t>
  </si>
  <si>
    <t>DWL-3600AP/A1A/PC</t>
  </si>
  <si>
    <t xml:space="preserve">                D-Link DWL-3600AP/A1A/PC  Беспроводная  точка доступа 802.11n, до 300 Мбит/с (Корпус пластик)</t>
  </si>
  <si>
    <t>DWL-8600AP</t>
  </si>
  <si>
    <t xml:space="preserve">                D-Link DWL-8600AP Беспроводная унифицированная точка доступа 802.11n, до 300 Мбит/с</t>
  </si>
  <si>
    <t xml:space="preserve">                    Камеры IP</t>
  </si>
  <si>
    <t>DCS-2103</t>
  </si>
  <si>
    <t xml:space="preserve">                D-Link DCS-2103 Сетевая мегапиксельная IP-камера "Cube"</t>
  </si>
  <si>
    <t>DCS-2132L/B1A</t>
  </si>
  <si>
    <t xml:space="preserve">                D-Link DCS-2132L/B1A Беспроводная 802.11n HD видеокамера “Cube” с поддержкой сервиса mydlink</t>
  </si>
  <si>
    <t>DCS-2210</t>
  </si>
  <si>
    <t xml:space="preserve">                D-Link DCS-2210  Сетевая двухмегапиксельная IP-видеокамера «Cube» с поддержкой Full HD и H.264</t>
  </si>
  <si>
    <t>DCS-2230L</t>
  </si>
  <si>
    <t xml:space="preserve">                D-Link DCS-2230L Сетевая беспроводная 802.11n двухмегапиксельная IP-видеокамера</t>
  </si>
  <si>
    <t>DCS-2310L</t>
  </si>
  <si>
    <t xml:space="preserve">                D-Link DCS-2310L Внешняя HD IP-видеокамера Cube с поддержкой PoE и сервиса mydlink</t>
  </si>
  <si>
    <t>DCS-33-4</t>
  </si>
  <si>
    <t xml:space="preserve">                D-Link DCS-33-4 Кронштейн для установки на стене для DCS-6510</t>
  </si>
  <si>
    <t xml:space="preserve">DCS-3415 </t>
  </si>
  <si>
    <t xml:space="preserve">                D-Link DCS-3415 Интернет-камера с 18-кратным оптическим увел</t>
  </si>
  <si>
    <t>DCS-3716</t>
  </si>
  <si>
    <t xml:space="preserve">                D-Link DCS-3716 IP-камера c сенсором WDR и возможностью ночной съемки, с поддержкой Full HD и PoE</t>
  </si>
  <si>
    <t xml:space="preserve">DCS-45 </t>
  </si>
  <si>
    <t xml:space="preserve">                D-Link DCS-45 кожух для камер DCS-2000,DSC-3400</t>
  </si>
  <si>
    <t xml:space="preserve">DCS-50 </t>
  </si>
  <si>
    <t xml:space="preserve">                D-Link DCS-50 кожух для камер DCS-3410,DSC-3411</t>
  </si>
  <si>
    <t>DCS-5000L/A1A</t>
  </si>
  <si>
    <t xml:space="preserve">                D-Link DCS-5000L/A1A Беспроводная облачная сетевая камера с приводом наклона/поворота</t>
  </si>
  <si>
    <t>DCS-5020L/A1A</t>
  </si>
  <si>
    <t xml:space="preserve">                D-Link DCS-5020L/A1A Беспроводная 802.11n IP-камера</t>
  </si>
  <si>
    <t>DCS-5211L</t>
  </si>
  <si>
    <t xml:space="preserve">                D-Link DCS-5211L HD видеокамера с поддержкой PoE и приводом наклона и поворота</t>
  </si>
  <si>
    <t>DCS-5222L</t>
  </si>
  <si>
    <t xml:space="preserve">                D-Link DCS-5222L Беспроводная 802.11n PTZ HD видеокамера</t>
  </si>
  <si>
    <t xml:space="preserve">DCS-60 </t>
  </si>
  <si>
    <t xml:space="preserve">                D-Link DCS-60 Securicam Network кожух </t>
  </si>
  <si>
    <t>DCS-6010L/A1B</t>
  </si>
  <si>
    <t xml:space="preserve">                D-Link DCS-6010L/A1B Беспроводная купольная облачная сетевая 2 МП Full HD-камера с углом обзора 360°</t>
  </si>
  <si>
    <t>DCS-6112</t>
  </si>
  <si>
    <t xml:space="preserve">                D-Link DCS-6112/A1A Купольная IP-видеокамера с поддержкой Full HD и PoE</t>
  </si>
  <si>
    <t>DCS-6113/A2A</t>
  </si>
  <si>
    <t xml:space="preserve">                D-Link DCS-6113/A2A Купольная IP-видеокамера с поддержкой Full HD и PoE</t>
  </si>
  <si>
    <t>DCS-6915</t>
  </si>
  <si>
    <t xml:space="preserve">                D-Link DCS-6915 Внешняя купольная сетевая 2 МП Full HD высокоскоростная PTZ-камера с поддержкой WDR </t>
  </si>
  <si>
    <t>DCS-7010L</t>
  </si>
  <si>
    <t xml:space="preserve">                D-Link DCS-7010L Цилиндрическая HD видеокамера для наружного использования с поддержкой сервиса mydl</t>
  </si>
  <si>
    <t>DCS-71</t>
  </si>
  <si>
    <t xml:space="preserve">                D-Link DCS-71 термокожух для камер DCS-5605/DCS-5211L</t>
  </si>
  <si>
    <t>DCS-7110/A3A</t>
  </si>
  <si>
    <t xml:space="preserve">                D-Link DCS-7110/A3A Интернет-камера внешняя с поддержкой PoE и инфракрасным фильтром</t>
  </si>
  <si>
    <t>DCS-7413</t>
  </si>
  <si>
    <t xml:space="preserve">                D-Link DCS-7413/B1A Full HD видеокамера с возможностью ночной съемки для наружного использования</t>
  </si>
  <si>
    <t>DCS-7513/A1A</t>
  </si>
  <si>
    <t xml:space="preserve">                D-Link DCS-7513/A1A Внешняя Full HD видеокамера с сенсором WDR и возможностью ночной съемки</t>
  </si>
  <si>
    <t>DCS-80-6</t>
  </si>
  <si>
    <t xml:space="preserve">                D-Link DCS-80-6 Блок питания для купольных высокоскоростных камер серии DCS-681x</t>
  </si>
  <si>
    <t>DCS-930L/B1A</t>
  </si>
  <si>
    <t xml:space="preserve">                D-Link DCS-930L/B1A Беспроводная 802.11n Интернет-камера с поддержкой mydlink</t>
  </si>
  <si>
    <t>DCS-931L/A1B</t>
  </si>
  <si>
    <t xml:space="preserve">                D-Link DCS-931L/A1B Беспроводная 802.11n сетевая камера с поддержкой кодека H.264</t>
  </si>
  <si>
    <t>DCS-933L/A1A</t>
  </si>
  <si>
    <t xml:space="preserve">                D-Link DCS-933L/A1A Беспроводная 802.11n сетевая камера с возможностью ночной съемки </t>
  </si>
  <si>
    <t>DCS-933L/A1B</t>
  </si>
  <si>
    <t xml:space="preserve">                D-Link DCS-933L/A1B Беспроводная 802.11n сетевая камера с возможностью ночной съемки </t>
  </si>
  <si>
    <t>DCS-942L/B1A</t>
  </si>
  <si>
    <t xml:space="preserve">                D-Link DCS-942L/B1A Беспроводная 802.11N сетевая камера с ИК-подсветкой </t>
  </si>
  <si>
    <t>DNR-312L/A1A</t>
  </si>
  <si>
    <t xml:space="preserve">                D-Link DNR-312L/A1A Облачный сетевой видеорегистратор</t>
  </si>
  <si>
    <t>DNR-322L/A2B</t>
  </si>
  <si>
    <t xml:space="preserve">                D-Link DNR-322L/A2B Сетевой видеорегистратор </t>
  </si>
  <si>
    <t xml:space="preserve">            Коммутаторы (hub, свитчи)</t>
  </si>
  <si>
    <t>7200-24G2XGE</t>
  </si>
  <si>
    <t xml:space="preserve">                D-Link  7200-24G2XGE Модуль расширения портов</t>
  </si>
  <si>
    <t>7200-ASE3</t>
  </si>
  <si>
    <t xml:space="preserve">                D-Link  7200-ASE3 Модуль ASE для поддержки MPLS</t>
  </si>
  <si>
    <t>7200-CM4</t>
  </si>
  <si>
    <t xml:space="preserve">                D-Link  7200-CM4 Модуль CPU для шасси DES-7210</t>
  </si>
  <si>
    <t>DAS-3626/A1A</t>
  </si>
  <si>
    <t xml:space="preserve">                D-Link DAS-3626/A1A VDSL2 DSLAM с 24 VDSL-портами и 2 комбо-портами 1000BASE-T/SFP</t>
  </si>
  <si>
    <t>DEM-340T</t>
  </si>
  <si>
    <t xml:space="preserve">                D-Link DEM-340T модуль расширения для DGS-3312 SR</t>
  </si>
  <si>
    <t>DEM-CB100/B1A</t>
  </si>
  <si>
    <t xml:space="preserve">                D-Link DEM-CB100/B1A 10G stacking cable for project X Switch(1m)</t>
  </si>
  <si>
    <t xml:space="preserve">DEM-CB100S/M200 </t>
  </si>
  <si>
    <t xml:space="preserve">                D-Link DEM-CB100S/M200 Пассивный 10G SFP+ кабель для прямого подключения, 1м</t>
  </si>
  <si>
    <t>DEM-CB300S/M200</t>
  </si>
  <si>
    <t xml:space="preserve">                D-Link DEM-CB300S/M200 Пассивный 10G SFP+ кабель для прямого подключения, 3м</t>
  </si>
  <si>
    <t>DEM-CB50</t>
  </si>
  <si>
    <t xml:space="preserve">                D-Link DEM-CB50 Кабель для стекирования коммутаторов 50см.</t>
  </si>
  <si>
    <t xml:space="preserve">DEM-CB50/M240 </t>
  </si>
  <si>
    <t xml:space="preserve">                D-Link DEM-CB50/M240 Кабель для стекирования коммутаторов 50см.</t>
  </si>
  <si>
    <t>DES-1005C/A1A</t>
  </si>
  <si>
    <t xml:space="preserve">                D-Link DES-1005C/A1A  5-порт неуправляемый коммутатор 10/100</t>
  </si>
  <si>
    <t xml:space="preserve">                D-Link DES-1008C/A1A  8-порт  неуправ-й коммутатор 10/100  пластиковый корпус</t>
  </si>
  <si>
    <t>DES-1008C/A1A</t>
  </si>
  <si>
    <t xml:space="preserve">                    ----//----</t>
  </si>
  <si>
    <t xml:space="preserve">DES-1008P  </t>
  </si>
  <si>
    <t xml:space="preserve">                D-Link DES-1008P  8-порт  10/100M с 4 портами РоЕ</t>
  </si>
  <si>
    <t>DES-1008P+/A1A</t>
  </si>
  <si>
    <t xml:space="preserve">                D-Link DES-1008P+/A1A Неуправляемый коммутатор с 8 портами 10/100Base-TX с поддержкой PoE</t>
  </si>
  <si>
    <t>DES-1016A/E1B</t>
  </si>
  <si>
    <t xml:space="preserve">                D-Link DES-1016A/E1B 16-порт 10/100 неупр-й коммутатор  пластиковый корпус</t>
  </si>
  <si>
    <t>DES-1016C/A1A</t>
  </si>
  <si>
    <t xml:space="preserve">                D-Link DES-1016C/A1A 16-порт 10/100 неупр-й коммутатор  металлический корпус</t>
  </si>
  <si>
    <t>DES-1016D/G1B</t>
  </si>
  <si>
    <t xml:space="preserve">                D-Link DES-1016D/G1B 16-порт 10/100 неупр-й коммутатор  металлический корпус</t>
  </si>
  <si>
    <t>DES-1018MP/A1A</t>
  </si>
  <si>
    <t xml:space="preserve">                D-Link DES-1018MP/A1A Неуправляемый коммутатор 16 портов 10/100 с PoE + 2 комбо-порта 10/100/1000</t>
  </si>
  <si>
    <t>DES-1018P/A1A</t>
  </si>
  <si>
    <t xml:space="preserve">                D-Link DES-1018P/A1A Неуправляемый коммутатор 8 10/100 + 8 10/100PoE +  2 комбо-портами 10/100/1000</t>
  </si>
  <si>
    <t>DES-1024A/E1B</t>
  </si>
  <si>
    <t xml:space="preserve">                D-Link DES-1024A/E1B Коммутатор 24-ти порт 10/100 неуправляемый пластиковый корпус</t>
  </si>
  <si>
    <t>DES-1024C/A1A</t>
  </si>
  <si>
    <t xml:space="preserve">                D-Link DES-1024C/A1A Коммутатор 24-ти порт 10/100 неуправляемый металлический корпус</t>
  </si>
  <si>
    <t xml:space="preserve">DES-1024D/F1A </t>
  </si>
  <si>
    <t xml:space="preserve">                D-Link DES-1024D/F1A Коммутатор 24-ти порт 10/100 неуправляемый  металлический корпус</t>
  </si>
  <si>
    <t>DES-1026G/E1A</t>
  </si>
  <si>
    <t xml:space="preserve">                D-Link DES-1026G/E1A Коммутатор 24- порт 10/100 и 2 порта 1000 н</t>
  </si>
  <si>
    <t>DES-1050G/C1A</t>
  </si>
  <si>
    <t xml:space="preserve">                D-Link DES-1050G/C1A Коммутатор 48-порт 10/100 + 2 100/1000</t>
  </si>
  <si>
    <t>DES-1100-06MP/A1A</t>
  </si>
  <si>
    <t xml:space="preserve">                D-Link DES-1100-06MP/A1A  Нас-мый  комм 2 уровня 4 порта 10/100 с PoE + 2 10/100/1000</t>
  </si>
  <si>
    <t>DES-1100-10P</t>
  </si>
  <si>
    <t xml:space="preserve">                D-Link DES-1100-10P  Комм-тор Наст-мый 8 портов 10/100 PoE + 2 комбо-порта 10/100/1000</t>
  </si>
  <si>
    <t>DES-1100-16/A2A</t>
  </si>
  <si>
    <t xml:space="preserve">                D-Link DES-1100-16/A2A  Настраиваемый  комм EasySmart с 16 портами 10/100</t>
  </si>
  <si>
    <t>DES-1100-24/A2A</t>
  </si>
  <si>
    <t xml:space="preserve">                D-Link DES-1100-24/A2A Настраиваемый  комм EasySmart с 24 портами 10/100</t>
  </si>
  <si>
    <t>DES-1100-26/A1A</t>
  </si>
  <si>
    <t xml:space="preserve">                D-Link DES-1100-26/A1A Настраиваемый  комм EasySmart с 24 портами 10/100 + 2 комбо-порта SFP 1000Мб</t>
  </si>
  <si>
    <t>DES-1210-08P/B1A</t>
  </si>
  <si>
    <t xml:space="preserve">                D-Link DES-1210-08P/B1A Настраиваемый комм  8 порта 10/100  c PoE</t>
  </si>
  <si>
    <t>DES-1210-08P/C1A</t>
  </si>
  <si>
    <t xml:space="preserve">                D-Link DES-1210-08P/C1A Настраиваемый комм  8 порта 10/100  c PoE</t>
  </si>
  <si>
    <t>DES-1210-10/ME/B1A</t>
  </si>
  <si>
    <t xml:space="preserve">                D-Link DES-1210-10/ME/B1A Упр-й комм-р 8-порт 10/100Base-T + 2 комбо-портами 10/100/1000BASE-T/SFP</t>
  </si>
  <si>
    <t xml:space="preserve">DES-1210-26/ME/B1A </t>
  </si>
  <si>
    <t xml:space="preserve">                D-Link DES-1210-26/ME/B1A Упр-й комм-р 24-порт 100  + 2 комбо-портами 10/100/1000BASE-T/SFP</t>
  </si>
  <si>
    <t>DES-1210-28/B1A</t>
  </si>
  <si>
    <t xml:space="preserve">                D-Link DES-1210-28/B1A Настраиваемый комм  24 порта 10/100  + 4 порта 1000</t>
  </si>
  <si>
    <t>DES-1210-28/C1A</t>
  </si>
  <si>
    <t xml:space="preserve">DES-1210-28/ME/B2A </t>
  </si>
  <si>
    <t xml:space="preserve">                D-Link DES-1210-28/ME/B2A Настраиваемый комм  24 порта 10/100  + 4 порта 1000</t>
  </si>
  <si>
    <t>DES-1210-28P/C1A</t>
  </si>
  <si>
    <t xml:space="preserve">                D-Link DES-1210-28P/C1A Настраиваемый комм  24 порта 10/100 PoE  + 4 порта 1000</t>
  </si>
  <si>
    <t>DES-1210-52/C1A</t>
  </si>
  <si>
    <t xml:space="preserve">                D-Link DES-1210-52/C1A  Настраиваемый комм  48 порта 10/100  + 4 порта 1000</t>
  </si>
  <si>
    <t>DES-3200-10/C1A</t>
  </si>
  <si>
    <t xml:space="preserve">                D-Link DES-3200-10/C1A Упра-мый комм 8 порта 10/100 + 2 100/1000</t>
  </si>
  <si>
    <t xml:space="preserve">DES-3200-18/C1A </t>
  </si>
  <si>
    <t xml:space="preserve">                D-Link DES-3200-18/C1A Упр-мый комм 16 порта 10/100 + 2 100/1000</t>
  </si>
  <si>
    <t>DES-3200-26/C1A</t>
  </si>
  <si>
    <t xml:space="preserve">                D-Link DES-3200-26/C1A Упр-й комм-р 24-порт 100 + 2х1000</t>
  </si>
  <si>
    <t>DES-3200-28/C1</t>
  </si>
  <si>
    <t xml:space="preserve">                D-Link DES-3200-28/C1 Упр-й комм-р 24-порт 2 портами 100/1000Base-X SFP и 2 комбо-портами 100/1000</t>
  </si>
  <si>
    <t>DES-3200-28F/C1A</t>
  </si>
  <si>
    <t xml:space="preserve">                D-Link DES-3200-28F/C1A Упр-й комм-р 24-порт 100 + 4х1000</t>
  </si>
  <si>
    <t xml:space="preserve">DES-3200-28P/C1A </t>
  </si>
  <si>
    <t xml:space="preserve">                D-Link DES-3200-28P/C1A Упр-й комм-р 24-порт 100 + 4х1000</t>
  </si>
  <si>
    <t>DES-3200-52/C1B</t>
  </si>
  <si>
    <t xml:space="preserve">                D-Link DES-3200-52/C1B Упр-й комм-р 48-порт 100 + 4х1000</t>
  </si>
  <si>
    <t>DES-3200-52P/C1A</t>
  </si>
  <si>
    <t xml:space="preserve">                D-Link DES-3200-52P/C1A Упр-й комм-р 48-порт 100 + 4х1000</t>
  </si>
  <si>
    <t>DES-3528/A5A</t>
  </si>
  <si>
    <t xml:space="preserve">                D-Link DES-3528/A5A Упр. комм-р 2 уровня  24х100М + 4 х1Г</t>
  </si>
  <si>
    <t>DES-3810-28/A1AEI</t>
  </si>
  <si>
    <t xml:space="preserve">                D-Link DES-3810-28/A1AEI Коммутатор упр-мый  24х100М + 4х1Г  3-го уровня</t>
  </si>
  <si>
    <t xml:space="preserve">DES-3810-52 </t>
  </si>
  <si>
    <t xml:space="preserve">                D-Link DES-3810-52 Коммутатор упр-мый 3 уров 48х100М + 4х1Г</t>
  </si>
  <si>
    <t xml:space="preserve">DES-7210_Base </t>
  </si>
  <si>
    <t xml:space="preserve">                D-Link DES-7210_Base  Switch  Layer 3</t>
  </si>
  <si>
    <t>DGS-1005A/C1B</t>
  </si>
  <si>
    <t xml:space="preserve">                D-Link DGS-1005A/C1B Коммутатор неуправ гигабитный 5 портовый</t>
  </si>
  <si>
    <t>DGS-1008A/C1B</t>
  </si>
  <si>
    <t xml:space="preserve">                D-Link DGS-1008A/C1B Коммутатор 8-порт10/100/1000 неуправляемый пластиковый корпус</t>
  </si>
  <si>
    <t>DGS-1008D/I2B</t>
  </si>
  <si>
    <t xml:space="preserve">                D-Link DGS-1008D/I2B Коммутатор 8-порт10/100/1000 неуправляемый металлический корпус</t>
  </si>
  <si>
    <t>DGS-1008P/C1A</t>
  </si>
  <si>
    <t xml:space="preserve">                D-Link DGS-1008P/C1A Коммутатор 8-порт10/100/1000 неуправляемый с 4 PoE</t>
  </si>
  <si>
    <t>DGS-1016A/B1A</t>
  </si>
  <si>
    <t xml:space="preserve">                D-Link DGS-1016A/B1A Коммутатор неуправл гигабитный 16 портов пластиковый корпус</t>
  </si>
  <si>
    <t xml:space="preserve">DGS-1016D/G3A </t>
  </si>
  <si>
    <t xml:space="preserve">                D-Link DGS-1016D/G3A Коммутатор неуправл гигабитный 16 портов металлический корпус</t>
  </si>
  <si>
    <t xml:space="preserve">DGS-1024C/A1A </t>
  </si>
  <si>
    <t xml:space="preserve">                D-Link DGS-1024C/A1A Коммутатор неупр-ый гигабитный 24 порта</t>
  </si>
  <si>
    <t>DGS-1024D/G1B</t>
  </si>
  <si>
    <t xml:space="preserve">                D-Link DGS-1024D/G1B Коммутатор неупр-ый гигабитный 24 порта</t>
  </si>
  <si>
    <t xml:space="preserve">DGS-1024D/G2A </t>
  </si>
  <si>
    <t xml:space="preserve">                D-Link DGS-1024D/G2A Коммутатор неупр-ый гигабитный 24 порта</t>
  </si>
  <si>
    <t>DGS-1100-05/A1A</t>
  </si>
  <si>
    <t xml:space="preserve">                D-Link DGS-1100-05/A1A Коммутатор 5-порт10/100/1000 настраиваемый</t>
  </si>
  <si>
    <t>DGS-1100-06/ME/A1A</t>
  </si>
  <si>
    <t xml:space="preserve">                D-Link DGS-1100-06/ME/A1A Упр-ый  L2  5 портов 10/100/1000Base-T и 1 портом 100/1000Base-X SFP</t>
  </si>
  <si>
    <t>DGS-1100-08/A1A</t>
  </si>
  <si>
    <t xml:space="preserve">                D-Link DGS-1100-08/A1A Коммутатор 8-порт10/100/1000 настраиваемый</t>
  </si>
  <si>
    <t xml:space="preserve">DGS-1100-08P/A1A </t>
  </si>
  <si>
    <t xml:space="preserve">                D-Link DGS-1100-08P/A1A  Настраиваемый  комм EasySmart с 8 портами 10/100/1000 Base-T PoE</t>
  </si>
  <si>
    <t>DGS-1100-10/ME/A1A</t>
  </si>
  <si>
    <t xml:space="preserve">                D-Link DGS-1100-10/ME/A1A Коммутатор 8 портов 10/100/1000Base-T и 2 комбо-порта100/1000Base-T/SFP</t>
  </si>
  <si>
    <t>DGS-1100-16/A1A</t>
  </si>
  <si>
    <t xml:space="preserve">                D-Link DGS-1100-16/A1A Настраиваемый компактный коммутатор EasySmart с 16 портами 10/100/1000</t>
  </si>
  <si>
    <t>DGS-1100-16/ME/B1A</t>
  </si>
  <si>
    <t xml:space="preserve">                D-Link DGS-1100-16/ME/B1A Настраиваемый компактный коммутатор  с 16 портами 10/100/1000</t>
  </si>
  <si>
    <t>DGS-1100-18/ME/B1A</t>
  </si>
  <si>
    <t xml:space="preserve">                D-Link DGS-1100-18/ME/B1A Настраиваемый коммутатор  с 16 портами 10/100/1000 + 2 SFP</t>
  </si>
  <si>
    <t>DGS-1100-24/ME/B1A</t>
  </si>
  <si>
    <t xml:space="preserve">                D-Link DGS-1100-24/ME/B1A Коммутатор 24-порта 10/100/1000 настраиваемый</t>
  </si>
  <si>
    <t>DGS-1210-10/C1A</t>
  </si>
  <si>
    <t xml:space="preserve">                D-Link DGS-1210-10/C1A Настраиваемый  комм EasySmart 8 портов 10/100/1000 +  2 порта SFP</t>
  </si>
  <si>
    <t xml:space="preserve">DGS-1210-10/ME/A1A </t>
  </si>
  <si>
    <t xml:space="preserve">                D-Link DGS-1210-10/ME/A1A Упра-ый комм-ор 2 уровня с 8 поров 10/100/1000 +  2 порта SFP</t>
  </si>
  <si>
    <t>DGS-1210-10P/C1A</t>
  </si>
  <si>
    <t xml:space="preserve">                D-Link DGS-1210-10P/C1A Коммутатор 8 портами 10/100/1000 с поддержкой PoE + 2 порта SFP</t>
  </si>
  <si>
    <t>DGS-1210-10P/ME/A1A</t>
  </si>
  <si>
    <t xml:space="preserve">                D-Link DGS-1210-10P/ME/A1A Упра-ый комм-ор 2 уровня с 8 поров 10/100/1000 с PoE + 2 SFP         </t>
  </si>
  <si>
    <t>DGS-1210-12TS/ME</t>
  </si>
  <si>
    <t xml:space="preserve">                D-Link DGS-1210-12TS/ME Упра-ый комм-ор 2 уровня 10 портов 1000Base-X SFP и 2 порта 1000Мб</t>
  </si>
  <si>
    <t>DGS-1210-20/C1A</t>
  </si>
  <si>
    <t xml:space="preserve">                D-Link DGS-1210-20/C1A  WebSmart коммутатор  16 портов 10/100/1000  + 4SFP </t>
  </si>
  <si>
    <t>DGS-1210-20/ME/A1A</t>
  </si>
  <si>
    <t xml:space="preserve">                D-Link DGS-1210-20/ME/A1A  WebSmart коммутатор  16 портов 10/100/1000  + 4SFP </t>
  </si>
  <si>
    <t>DGS-1210-28/ME/A1A</t>
  </si>
  <si>
    <t xml:space="preserve">                D-Link DGS-1210-28/ME/A1A  WebSmart коммутатор  24 порта 10/100/1000  + 4SFP </t>
  </si>
  <si>
    <t>DGS-1210-28/ME/FTA1A</t>
  </si>
  <si>
    <t xml:space="preserve">                D-Link DGS-1210-28/ME/FTA1A  WebSmart коммутатор  24 порта 10/100/1000  + 4SFP </t>
  </si>
  <si>
    <t xml:space="preserve">DGS-1210-28P/C1A </t>
  </si>
  <si>
    <t xml:space="preserve">                D-Link DGS-1210-28P/C1A  WebSmart коммутатор  24 порта 10/100/1000 с PoE + 4SFP </t>
  </si>
  <si>
    <t>DGS-1210-28P/ME/A1A</t>
  </si>
  <si>
    <t xml:space="preserve">                D-Link DGS-1210-28P/ME/A1A  WebSmart коммутатор  24 порта 10/100/1000 с PoE + 4SFP </t>
  </si>
  <si>
    <t>DGS-1210-28P/ME/FTA1A</t>
  </si>
  <si>
    <t xml:space="preserve">                D-Link DGS-1210-28P/ME/FTA1A  WebSmart коммутатор  24 порта 10/100/1000 с PoE + 4SFP </t>
  </si>
  <si>
    <t>DGS-1210-52/ME/A1A</t>
  </si>
  <si>
    <t xml:space="preserve">                D-Link DGS-1210-52/ME/A1A  WebSmart коммутатор  48 портов 10/100/1000  + 4SFP </t>
  </si>
  <si>
    <t>DGS-1210-52/ME/FTA1A</t>
  </si>
  <si>
    <t xml:space="preserve">                D-Link DGS-1210-52/ME/FTA1A  WebSmart коммутатор  48 портов 10/100/1000  + 4SFP </t>
  </si>
  <si>
    <t>DGS-1210-52MP/C1A</t>
  </si>
  <si>
    <t xml:space="preserve">                D-Link DGS-1210-52MP/C1A WebSmart коммутатор  48 портов 10/100/1000 с поддержкой РоЕ  + 4SFP </t>
  </si>
  <si>
    <t>DGS-1210-52MP/ME/A1A</t>
  </si>
  <si>
    <t xml:space="preserve">                D-Link DGS-1210-52MP/ME/A1A Управляемый коммутатор  48 портов 10/100/1000 с поддержкой РоЕ  + 4SFP </t>
  </si>
  <si>
    <t>DGS-1210-52P/C</t>
  </si>
  <si>
    <t xml:space="preserve">                D-Link DGS-1210-52P/C Настраиваемый коммутатор Web Smart с 48 портами 10/100/1000Base-T</t>
  </si>
  <si>
    <t xml:space="preserve">DGS-1500-28P </t>
  </si>
  <si>
    <t xml:space="preserve">                D-Link DGS-1500-28P  WebSmartPro коммутатор с 24 портами c PoE + 4 порта SFP</t>
  </si>
  <si>
    <t>DGS-1510-20/A1A</t>
  </si>
  <si>
    <t xml:space="preserve">                D-Link DGS-1510-20/A1A WebSmartPro коммутатор с 16 портов + 4 порта SFP</t>
  </si>
  <si>
    <t>DGS-1510-28/A1A</t>
  </si>
  <si>
    <t xml:space="preserve">                D-Link DGS-1510-28/A1A SmartPro коммутатор с 24 портов + 2 порта SFP и 2 портами 10G SFP+</t>
  </si>
  <si>
    <t>DGS-1510-28P/A1A</t>
  </si>
  <si>
    <t xml:space="preserve">                D-Link DGS-1510-28P/A1A  24 порта 10/100/1000 PoE + 2 портами Gigabit SFP и 2 портами 10G SFP+</t>
  </si>
  <si>
    <t>DGS-1510-28X/A1A</t>
  </si>
  <si>
    <t xml:space="preserve">                D-Link DGS-1510-28X/A1A Сте-мый комм-тор SmartPro 24 порта 10/100/1000Мб + 4 порта 10GBase-X SFP+</t>
  </si>
  <si>
    <t>DGS-1510-52/A1A</t>
  </si>
  <si>
    <t xml:space="preserve">                D-Link DGS-1510-52/A1A  48 портов 10/100/1000  + 2 портами Gigabit SFP и 2 портами 10G SFP+</t>
  </si>
  <si>
    <t>DGS-1510-52X/A1A</t>
  </si>
  <si>
    <t xml:space="preserve">                D-Link DGS-1510-52X/A1A Сте-мый комм-тор SmartPro 48 портов 10/100/1000Мб + 4 порта 10GBase-X SFP+</t>
  </si>
  <si>
    <t>DGS-3000-10TC/A1A</t>
  </si>
  <si>
    <t xml:space="preserve">                D-Link DGS-3000-10TC/A1A Комм-р управ-й гигабитный 8 портовый  + 2 комбо-портами 1000Base-T/SFP</t>
  </si>
  <si>
    <t>DGS-3000-24TC/A1A</t>
  </si>
  <si>
    <t xml:space="preserve">                D-Link DGS-3000-24TC/A1A Комм-р управ-й гигабитный 20 портовый  + 4 комбо-портами 1000Base-T/SFP</t>
  </si>
  <si>
    <t>DGS-3000-26TC/A1A</t>
  </si>
  <si>
    <t xml:space="preserve">                D-Link DGS-3000-26TC/A1A Управ-й  20 пор-ый + 4 комбо-портами 1000Base-T/SFP +  2 порт 10G SFP+</t>
  </si>
  <si>
    <t xml:space="preserve">DGS-3120-24PC/B1ARI </t>
  </si>
  <si>
    <t xml:space="preserve">                D-Link DGS-3120-24PC/B1ARI  Комм-р управ гигабитный 24 порт с поддержкой PoE</t>
  </si>
  <si>
    <t>DGS-3120-24SC/B1AEI</t>
  </si>
  <si>
    <t xml:space="preserve">                D-Link DGS-3120-24SC/B1AEI Комм-р управ-й гигабитный 24 порт</t>
  </si>
  <si>
    <t>DGS-3120-24SC/B1ARI</t>
  </si>
  <si>
    <t xml:space="preserve">                D-Link DGS-3120-24SC/B1ARI Комм-р управ-й гигабитный 24 порт</t>
  </si>
  <si>
    <t>DGS-3120-24TC/B1ARI</t>
  </si>
  <si>
    <t xml:space="preserve">                D-Link DGS-3120-24TC/B1ARI Комм-р управ-й гигабитный 24 порт</t>
  </si>
  <si>
    <t>DGS-3120-48PC/B1ARI</t>
  </si>
  <si>
    <t xml:space="preserve">                D-Link DGS-3120-48PC/B1ARI Комм-р управ-й гигабитный 48 порт  Poe</t>
  </si>
  <si>
    <t>DGS-3120-48PC/EI</t>
  </si>
  <si>
    <t xml:space="preserve">                D-Link DGS-3120-48PC/EI Комм-р управ-й гигабитный 48 порт  Poe</t>
  </si>
  <si>
    <t>DGS-3120-48TC/B1AEI</t>
  </si>
  <si>
    <t xml:space="preserve">                D-Link DGS-3120-48TC/B1AEI Комм-р управ-й гигабитный 48 порт</t>
  </si>
  <si>
    <t>DGS-3420-26SC</t>
  </si>
  <si>
    <t xml:space="preserve">                D-Link DGS-3420-26SC Комм-р управ-й гигабитный 24xSFP L2+, 4xCombo SFP / 1000BaseT, 2xSFP+, 19''</t>
  </si>
  <si>
    <t>DGS-3420-28PC</t>
  </si>
  <si>
    <t xml:space="preserve">                D-Link DGS-3420-28PC Комм-р управ-й гигабитный 28 порт c PoE</t>
  </si>
  <si>
    <t>DGS-3420-28SC</t>
  </si>
  <si>
    <t xml:space="preserve">                D-Link DGS-3420-28SC Комм-р управ-й гигабитный 28 порт</t>
  </si>
  <si>
    <t>DGS-3420-28SC/B1A</t>
  </si>
  <si>
    <t xml:space="preserve">                D-Link DGS-3420-28SC/B1A Комм-р управ-й гигабитный 28 порт</t>
  </si>
  <si>
    <t>DGS-3420-28ТС</t>
  </si>
  <si>
    <t xml:space="preserve">                D-Link DGS-3420-28ТС Комм-р управ-й гигабитный 28 порт</t>
  </si>
  <si>
    <t xml:space="preserve">DGS-3420-52P </t>
  </si>
  <si>
    <t xml:space="preserve">                D-Link DGS-3420-52P  Комм-р управ-й гигабитный 48 портов PoE  + 4 порта SFP</t>
  </si>
  <si>
    <t>DGS-3420-52T/B1A</t>
  </si>
  <si>
    <t xml:space="preserve">                D-Link DGS-3420-52T/B1A Комм-р управ-й гигабитный 48 портами + 4 портами SFP</t>
  </si>
  <si>
    <t>DGS-3420-52T/IN</t>
  </si>
  <si>
    <t xml:space="preserve">                D-Link DGS-3420-52T/IN Комм-р управ-й гигабитный 48 портами + 4 портами SFP</t>
  </si>
  <si>
    <t>DGS-3610-26/A2A</t>
  </si>
  <si>
    <t xml:space="preserve">                D-Link DGS-3610-26/A2A Комм 3-го урв-ня 24-х портовый</t>
  </si>
  <si>
    <t xml:space="preserve">DGS-3610-26G </t>
  </si>
  <si>
    <t xml:space="preserve">                D-Link DGS-3610-26G Коммутатор 24-ти портовый</t>
  </si>
  <si>
    <t xml:space="preserve">DGS-3620-28SC/B1AEI </t>
  </si>
  <si>
    <t xml:space="preserve">                D-Link DGS-3620-28SC/B1AEI  Упро-мый комм-р 3-го уровня </t>
  </si>
  <si>
    <t>DGS-3620-28TC/B1AEI</t>
  </si>
  <si>
    <t xml:space="preserve">                D-Link DGS-3620-28TC/B1AEI Комм-р управ-й гигабитный 28 порт</t>
  </si>
  <si>
    <t>DGS-3620-52P</t>
  </si>
  <si>
    <t xml:space="preserve">                D-Link DGS-3620-52P Коммутатор упр 3-го уровня, xStack с 48 портами 10/100/1000BASE-T PoE + 4 SFP</t>
  </si>
  <si>
    <t>DGS-3620-52T</t>
  </si>
  <si>
    <t xml:space="preserve">                D-Link DGS-3620-52T  Коммутатор упр 3-го уровня, xStack с 48 портами 10/100/1000BASE-T </t>
  </si>
  <si>
    <t>DGS-3620-52T/B1AEI</t>
  </si>
  <si>
    <t xml:space="preserve">                D-Link DGS-3620-52T/B1AEI  Коммутатор упр 3-го уровня, xStack  48 портов 10/100/1000 и 4 порта SFP+</t>
  </si>
  <si>
    <t xml:space="preserve">DGS-3650  </t>
  </si>
  <si>
    <t xml:space="preserve">                D-Link DGS-3650  Коммутатор упр 3-го уровня, 50 портовый</t>
  </si>
  <si>
    <t>DGS-3700-12</t>
  </si>
  <si>
    <t xml:space="preserve">                D-Link DGS-3700-12 Комм-р управ-й гигабитный 12 портовый</t>
  </si>
  <si>
    <t xml:space="preserve">DGS-3710-12C/A1A </t>
  </si>
  <si>
    <t xml:space="preserve">                D-Link DGS-3710-12C/A1A  Коммутатор c 12 комбо-портами 10/100/1000 SFP</t>
  </si>
  <si>
    <t xml:space="preserve">                D-Link DGS-6600-48S Модуль с 48 портами 100/1000 SFP</t>
  </si>
  <si>
    <t>DGS-6600-48S</t>
  </si>
  <si>
    <t>DGS-6600-48TS</t>
  </si>
  <si>
    <t xml:space="preserve">                D-Link DGS-6600-48TS Модуль с 24 портами 100/1000 Base-T + 24 порта портами SFP</t>
  </si>
  <si>
    <t>DGS-6600-PWR</t>
  </si>
  <si>
    <t xml:space="preserve">                D-Link DGS-6600-PWR Резервный источник питания переменного тока 850 Вт для серии DGS-6600</t>
  </si>
  <si>
    <t xml:space="preserve">DGS-6608-SK </t>
  </si>
  <si>
    <t xml:space="preserve">                D-Link DGS-6608-SK - Starter Kit</t>
  </si>
  <si>
    <t>DGS-712/C1A</t>
  </si>
  <si>
    <t xml:space="preserve">                D-Link DGS-712/C1A  Трансивер  miniGBIC  в RJ-45</t>
  </si>
  <si>
    <t xml:space="preserve">DPS-200 </t>
  </si>
  <si>
    <t xml:space="preserve">                D-Link DPS-200 Резервный источник питания, 60 Ватт</t>
  </si>
  <si>
    <t>DPS-500</t>
  </si>
  <si>
    <t xml:space="preserve">                D-Link DPS-500 Резервный источник питания, 140 Ватт</t>
  </si>
  <si>
    <t>DPS-700</t>
  </si>
  <si>
    <t xml:space="preserve">                D-Link DPS-700 Резервный источник питания, 589 Ватт</t>
  </si>
  <si>
    <t>DPS-800</t>
  </si>
  <si>
    <t xml:space="preserve">                D-Link DPS-800 Шасси для резервных источников питания с 2 слотами</t>
  </si>
  <si>
    <t xml:space="preserve">DS-510P   </t>
  </si>
  <si>
    <t xml:space="preserve">                D-Link DS-510P   ПО для коммутаторов</t>
  </si>
  <si>
    <t xml:space="preserve">DUB-1040 </t>
  </si>
  <si>
    <t xml:space="preserve">                D-Link DUB-1040 концентратор USB 4 портовый</t>
  </si>
  <si>
    <t xml:space="preserve">DUB-E100 </t>
  </si>
  <si>
    <t xml:space="preserve">                D-Link DUB-E100 конвертер USB 2.0 в RJ-45 10/100</t>
  </si>
  <si>
    <t>DUB-H7/B/C1A</t>
  </si>
  <si>
    <t xml:space="preserve">                D-Link DUB-H7/B/C1A комбинированный 7-ти портовый концентратор</t>
  </si>
  <si>
    <t xml:space="preserve">DV-600P   </t>
  </si>
  <si>
    <t xml:space="preserve">                D-Link DV-600P   ПО для коммутаторов</t>
  </si>
  <si>
    <t xml:space="preserve">DV-600S   </t>
  </si>
  <si>
    <t xml:space="preserve">                D-Link DV-600S  ПО для коммутаторов</t>
  </si>
  <si>
    <t>DVS-310-1</t>
  </si>
  <si>
    <t xml:space="preserve">                D-Link DVS-310-1 Одноканальный видеосервер H.264/MPEG4/MJPEG с поддержкой PoE</t>
  </si>
  <si>
    <t>DWS-3024L</t>
  </si>
  <si>
    <t xml:space="preserve">                D-Link DWS-3024L Беспроводной коммутатор 2-го уровня</t>
  </si>
  <si>
    <t>DWS-3160-24PC</t>
  </si>
  <si>
    <t xml:space="preserve">                D-Link DWS-3160-24PC Коммутатор для управления беспроводными точками доступа 2-го уровня</t>
  </si>
  <si>
    <t>DWS-3160-24PC-AP12</t>
  </si>
  <si>
    <t xml:space="preserve">                D-Link DWS-3160-24PC-AP12 Лицензия</t>
  </si>
  <si>
    <t>DWS-3160-24PC-AP24</t>
  </si>
  <si>
    <t xml:space="preserve">                D-Link DWS-3160-24PC-AP24 Лицензия</t>
  </si>
  <si>
    <t>DWS-3160-24TC/A2A</t>
  </si>
  <si>
    <t xml:space="preserve">                D-Link DWS-3160-24TC/A2A Унифицированный коммутатор для управления точками доступа 2-го уровня </t>
  </si>
  <si>
    <t>DXS-3600-16S</t>
  </si>
  <si>
    <t xml:space="preserve">                D-Link DXS-3600-16S Коммутатор с 8 фиксированными портами SFP+</t>
  </si>
  <si>
    <t xml:space="preserve">DXS-3600-EM-8XS </t>
  </si>
  <si>
    <t xml:space="preserve">                D-Link DXS-3600-EM-8XS Модуль расширения с 8 портами 10G SFP+</t>
  </si>
  <si>
    <t xml:space="preserve">            Маршрутизаторы (роутеры)</t>
  </si>
  <si>
    <t>DIR-140L/A1A</t>
  </si>
  <si>
    <t xml:space="preserve">                D-Link DIR-140L/A1A Облачный VPN-маршрутизатор с USB-портом</t>
  </si>
  <si>
    <t>DIR-300A/A1A</t>
  </si>
  <si>
    <t xml:space="preserve">                D-Link DIR-300A/A1A беспроводный маршрутизатор</t>
  </si>
  <si>
    <t>DIR-300S/A1A</t>
  </si>
  <si>
    <t xml:space="preserve">                D-Link DIR-300S/A1A беспроводный маршрутизатор</t>
  </si>
  <si>
    <t>DIR-320/A/D1A</t>
  </si>
  <si>
    <t xml:space="preserve">                D-Link DIR-320/A/D1A беспроводный маршрутизатор</t>
  </si>
  <si>
    <t>DIR-510L/RU/A1A</t>
  </si>
  <si>
    <t xml:space="preserve">                D-Link DIR-510L/RU/A1A Беспроводной облачный портативный маршрутизатор AС750 с функцией подзарядки</t>
  </si>
  <si>
    <t>DIR-615/A/N1A</t>
  </si>
  <si>
    <t xml:space="preserve">                D-Link DIR-615/A/N1A беспроводный маршрутизатор</t>
  </si>
  <si>
    <t>DIR-615/A/N1B</t>
  </si>
  <si>
    <t xml:space="preserve">                D-Link DIR-615/A/N1B беспроводный маршрутизатор</t>
  </si>
  <si>
    <t>DIR-615/FB1/U1B</t>
  </si>
  <si>
    <t xml:space="preserve">                D-Link DIR-615/FB1/U1B  беспроводный маршрутизатор</t>
  </si>
  <si>
    <t>DIR-615/K/K2A</t>
  </si>
  <si>
    <t xml:space="preserve">                D-Link DIR-615/K/K2A беспроводный маршрутизатор</t>
  </si>
  <si>
    <t>DIR-615/K/R1A</t>
  </si>
  <si>
    <t xml:space="preserve">                D-Link DIR-615/K/R1A беспроводный маршрутизатор</t>
  </si>
  <si>
    <t>DIR-615A/A1A</t>
  </si>
  <si>
    <t xml:space="preserve">                D-Link DIR-615A/A1A беспроводный маршрутизатор</t>
  </si>
  <si>
    <t>DIR-620/A/E1A</t>
  </si>
  <si>
    <t xml:space="preserve">                D-Link DIR-620/A/E1A Беспроводной маршрутизатор N300 с поддержкой 3G/CDMA/LTE и USB-портом</t>
  </si>
  <si>
    <t>DIR-632/A1A</t>
  </si>
  <si>
    <t xml:space="preserve">                D-Link DIR-632/A1A беспроводный маршрутизатор</t>
  </si>
  <si>
    <t>DIR-651/A/B1A</t>
  </si>
  <si>
    <t xml:space="preserve">                D-Link DIR-651/A/B1A Беспроводной гигабитный маршрутизатор N300</t>
  </si>
  <si>
    <t>DIR-825/A/D1A</t>
  </si>
  <si>
    <t xml:space="preserve">                D-Link DIR-825/A/D1A Беспроводной двухдиапазонный гигабитный маршрутизатор N600</t>
  </si>
  <si>
    <t>DIR-880L/RU/A1A</t>
  </si>
  <si>
    <t xml:space="preserve">                D-Link DIR-880L/RU/A1A Бес-ной двухдиапазонный облачный гиг-ый маршрутизатор AC1900 с 2 USB-портами </t>
  </si>
  <si>
    <t xml:space="preserve">DWR-921/3GG4GC </t>
  </si>
  <si>
    <t xml:space="preserve">                D-Link DWR-921/3GG4GC Беспроводной маршрутизатор с поддержкой 4G LTE</t>
  </si>
  <si>
    <t xml:space="preserve">            Медиаконверторы, трансиверы</t>
  </si>
  <si>
    <t>DEM-210</t>
  </si>
  <si>
    <t xml:space="preserve">                D-Link DEM-210 Трансивер SFP одномод 15 км</t>
  </si>
  <si>
    <t>DEM-211</t>
  </si>
  <si>
    <t xml:space="preserve">                D-Link DEM-211 Трансивер SFP многомод 2 км</t>
  </si>
  <si>
    <t xml:space="preserve">DEM-220R/10 </t>
  </si>
  <si>
    <t xml:space="preserve">                D-Link DEM-220R/10 трансивер SFP одномод 20 км WDM</t>
  </si>
  <si>
    <t>DEM-220T/10</t>
  </si>
  <si>
    <t xml:space="preserve">                D-Link DEM-220T/10 трансивер SFP одномод 20 км WDM</t>
  </si>
  <si>
    <t>DEM-302S-BXD/10A1A</t>
  </si>
  <si>
    <t xml:space="preserve">                D-Link DEM-302S-BXD/10A1A WDM SFP-трансивер для одномодового оптического кабеля (до 2 км)</t>
  </si>
  <si>
    <t>DEM-302S-BXU/10A1A</t>
  </si>
  <si>
    <t xml:space="preserve">                D-Link DEM-302S-BXU/10A1A WDM SFP-трансивер для одномодового оптического кабеля (до 2 км)</t>
  </si>
  <si>
    <t>DEM-302S-LX/10A1A</t>
  </si>
  <si>
    <t xml:space="preserve">                D-Link DEM-302S-LX/10A1A Трансивер SFP одномод  2км</t>
  </si>
  <si>
    <t>DEM-310GT/10/G1A</t>
  </si>
  <si>
    <t xml:space="preserve">                D-Link DEM-310GT/10/G1A Трансивер SFP одномод 10 км</t>
  </si>
  <si>
    <t>DEM-310GT/10/H1A</t>
  </si>
  <si>
    <t xml:space="preserve">                D-Link DEM-310GT/10/H1A Трансивер SFP одномод 10 км</t>
  </si>
  <si>
    <t>DEM-310GT/DD/10/G1A</t>
  </si>
  <si>
    <t xml:space="preserve">                D-Link DEM-310GT/DD/10/G1A Трансивер SFP одномод ( с DDM )10 км</t>
  </si>
  <si>
    <t>DEM-311GT/10/G1A</t>
  </si>
  <si>
    <t xml:space="preserve">                D-Link DEM-311GT/10/G1A Трансивер SFP многомод  550 м</t>
  </si>
  <si>
    <t>DEM-311GT/10/H1A</t>
  </si>
  <si>
    <t xml:space="preserve">                D-Link DEM-311GT/10/H1A Трансивер SFP многомод  550 м</t>
  </si>
  <si>
    <t xml:space="preserve">DEM-312GT2 </t>
  </si>
  <si>
    <t xml:space="preserve">                D-Link DEM-312GT2 Трансивер SFP мульлтимод 2км</t>
  </si>
  <si>
    <t>DEM-314GT/E1A</t>
  </si>
  <si>
    <t xml:space="preserve">                D-Link DEM-314GT/E1A Трансивер SFP одномод 50км</t>
  </si>
  <si>
    <t xml:space="preserve">DEM-315GT </t>
  </si>
  <si>
    <t xml:space="preserve">                D-Link DEM-315GT Трансивер SFP одномод 80 км</t>
  </si>
  <si>
    <t xml:space="preserve">DEM-330R </t>
  </si>
  <si>
    <t xml:space="preserve">                D-Link DEM-330R трансивер SFP одномод 10 км WDM</t>
  </si>
  <si>
    <t xml:space="preserve">DEM-330T </t>
  </si>
  <si>
    <t xml:space="preserve">                D-Link DEM-330T трансивер SFP одномод 10 км  WDM</t>
  </si>
  <si>
    <t xml:space="preserve">DEM-331R </t>
  </si>
  <si>
    <t xml:space="preserve">                D-Link DEM-331R Трансивер SFP одномод 40 км WDM</t>
  </si>
  <si>
    <t xml:space="preserve">DEM-331T </t>
  </si>
  <si>
    <t xml:space="preserve">                D-Link DEM-331T Трансивер SFP одномод 40 км WDM</t>
  </si>
  <si>
    <t xml:space="preserve">DEM-410CX </t>
  </si>
  <si>
    <t xml:space="preserve">                D-Link DEM-410CX 1-PORT 10G BASE CX4 MODULE</t>
  </si>
  <si>
    <t xml:space="preserve">DEM-410X </t>
  </si>
  <si>
    <t xml:space="preserve">                D-Link DEM-410X Модуль для коммутаторов DGS-34xx и DGS-36xx с 1 слотом 10Gigabit XFP</t>
  </si>
  <si>
    <t xml:space="preserve">DEM-421XT </t>
  </si>
  <si>
    <t xml:space="preserve">                D-Link DEM-421XT Модуль XFP с 1 портом 10G (10GBASE-SR) многомод до 300 м</t>
  </si>
  <si>
    <t xml:space="preserve">DEM-422XT </t>
  </si>
  <si>
    <t xml:space="preserve">                D-Link DEM-422XT Модуль XFP с 1 портом 10G (10GBASE-LR)  одномод до 10 км</t>
  </si>
  <si>
    <t>DEM-423XT</t>
  </si>
  <si>
    <t xml:space="preserve">                D-Link DEM-423XT Модуль XFP с 1 портом 10G (10GBASE-ER)  одномод (до 40 Км)</t>
  </si>
  <si>
    <t xml:space="preserve">DEM-431XT </t>
  </si>
  <si>
    <t xml:space="preserve">                D-Link DEM-431XT SFP-трансивер с 1 портом 10GBASE-SR (без DDM)  многомод питание 3.3 В (до 300м)</t>
  </si>
  <si>
    <t xml:space="preserve">DEM-432XT </t>
  </si>
  <si>
    <t xml:space="preserve">                D-Link DEM-432XT SFP-трансивер с 1 портом 10GBASE-SR (без DDM) одномод, питание 3.3 В (до 10 км)</t>
  </si>
  <si>
    <t>DEM-432XT-DD</t>
  </si>
  <si>
    <t xml:space="preserve">                D-Link DEM-432XT-DD SFP-трансивер с 1 портом 10GBASE-LR (c DDM)  до 10 км</t>
  </si>
  <si>
    <t>DEM-433XT</t>
  </si>
  <si>
    <t xml:space="preserve">                D-Link DEM-433XT SFP-трансивер с 1 портом 10GBASE-ER (без DDM), одномод  (до 40 км)</t>
  </si>
  <si>
    <t>DEM-433XT-DD</t>
  </si>
  <si>
    <t xml:space="preserve">                D-Link DEM-433XT-DD SFP-трансивер с 1 портом 10GBASE-ER (c DDM) одномод, питание 3.3 В (до 40 км) </t>
  </si>
  <si>
    <t>DEM-434XT</t>
  </si>
  <si>
    <t xml:space="preserve">                D-Link DEM-434XT/B1A SFP-трансивер с 1 портом 10GBase-ZR  одномод  до 80 км</t>
  </si>
  <si>
    <t>DEM-436XT-BXD</t>
  </si>
  <si>
    <t xml:space="preserve">                D-Link DEM-436XT-BXD Двунаправленный SFP-трансивер с 1 портом 10GBASE-LR (без DDM) одномод до 20км</t>
  </si>
  <si>
    <t>DEM-436XT-BXU</t>
  </si>
  <si>
    <t xml:space="preserve">                D-Link DEM-436XT-BXU Двунаправленный SFP-трансивер с 1 портом 10GBASE-LR (без DDM) одномод до 20км</t>
  </si>
  <si>
    <t>DMC-1000/A3A</t>
  </si>
  <si>
    <t xml:space="preserve">                D-Link DMC-1000/A3A Шасси для медиаконверторов</t>
  </si>
  <si>
    <t>DMC-1001/A3A</t>
  </si>
  <si>
    <t xml:space="preserve">                D-Link DMC-1001/A3A Блок питания для DMC-1000</t>
  </si>
  <si>
    <t>DMC-1001/DC/A1A</t>
  </si>
  <si>
    <t xml:space="preserve">                D-Link DMC-1001/DC/A1A Блок питания DC для DMC-1000</t>
  </si>
  <si>
    <t>DMC-1002/A3B</t>
  </si>
  <si>
    <t xml:space="preserve">                D-Link DMC-1002/A3B Модуль управления для DMC-1000</t>
  </si>
  <si>
    <t>DMC-1530SC</t>
  </si>
  <si>
    <t xml:space="preserve">                D-Link DMC-1530SC Медиаконвертер одномод 30 км </t>
  </si>
  <si>
    <t xml:space="preserve">DMC-1580SC </t>
  </si>
  <si>
    <t xml:space="preserve">                D-Link DMC-1580SC  Медиаконвертер одномод на 80 км</t>
  </si>
  <si>
    <t>DMC-1910R/A8A</t>
  </si>
  <si>
    <t xml:space="preserve">                D-Link DMC-1910R/A8A Медиаконвертер одномодовый на 15км</t>
  </si>
  <si>
    <t>DMC-1910T/A8A</t>
  </si>
  <si>
    <t xml:space="preserve">                D-Link DMC-1910T/A8A Медиаконвертер одномодовый на 15км</t>
  </si>
  <si>
    <t xml:space="preserve">DMC-300SC </t>
  </si>
  <si>
    <t xml:space="preserve">                D-Link DMC-300SC Медиаконвертер многомод 2 км</t>
  </si>
  <si>
    <t>DMC-515SC/D6B</t>
  </si>
  <si>
    <t xml:space="preserve">                D-Link DMC-515SC/D6B Медиаконвертер одномод 15 км</t>
  </si>
  <si>
    <t>DMC-530SC/D6A</t>
  </si>
  <si>
    <t xml:space="preserve">                D-Link DMC-530SC/D6A Медиаконвертер одномод 30 км</t>
  </si>
  <si>
    <t>DMC-700SC</t>
  </si>
  <si>
    <t xml:space="preserve">                D-Link DMC-700SC Медиаконвертер многомод  550 м</t>
  </si>
  <si>
    <t>DMC-805G/A10A</t>
  </si>
  <si>
    <t xml:space="preserve">                D-Link DMC-805G/A10A Медиаконвертер для преобраз-я витая пара</t>
  </si>
  <si>
    <t>DMC-805G/A8A</t>
  </si>
  <si>
    <t xml:space="preserve">                D-Link DMC-805G/A8A Медиаконвертер для преобраз-я витая пара</t>
  </si>
  <si>
    <t>DMC-810SC/B8A</t>
  </si>
  <si>
    <t xml:space="preserve">                D-Link DMC-810SC/B8A Медиаконвертер одномод 10 км</t>
  </si>
  <si>
    <t>DMC-920R/B7A</t>
  </si>
  <si>
    <t xml:space="preserve">                D-Link DMC-920R/B7A Медиаконвертер одномод 20 км WDM</t>
  </si>
  <si>
    <t>DMC-920R/B9A</t>
  </si>
  <si>
    <t xml:space="preserve">                D-Link DMC-920R/B9A Медиаконвертер одномод 20 км WDM</t>
  </si>
  <si>
    <t>DMC-920T/B7A</t>
  </si>
  <si>
    <t xml:space="preserve">                D-Link DMC-920T/B7A Медиаконвертер одномод 20 км WDM</t>
  </si>
  <si>
    <t>DMC-920T/B9A</t>
  </si>
  <si>
    <t xml:space="preserve">                D-Link DMC-920T/B9A Медиаконвертер одномод 20 км WDM</t>
  </si>
  <si>
    <t>DMC-F02SC/A1A</t>
  </si>
  <si>
    <t xml:space="preserve">                D-Link DMC-F02SC/A1A Автономный медиаконвертер многомод 2 км</t>
  </si>
  <si>
    <t>DMC-F15SC/A1A</t>
  </si>
  <si>
    <t xml:space="preserve">                D-Link DMC-F15SC/A1A Автономный медиаконвертер одномод 15 км</t>
  </si>
  <si>
    <t>DMC-F20SC-BXD/A1A</t>
  </si>
  <si>
    <t xml:space="preserve">                D-Link DMC-F20SC-BXD/A1A Автономный медиаконвертер одномод 20 км WDM</t>
  </si>
  <si>
    <t>DMC-F20SC-BXU/A1A</t>
  </si>
  <si>
    <t xml:space="preserve">                D-Link DMC-F20SC-BXU/A1A Автономный медиаконвертер одномод 20 км WDM</t>
  </si>
  <si>
    <t>DMC-F30SC/A1A</t>
  </si>
  <si>
    <t xml:space="preserve">                D-Link DMC-F30SC/A1A Автономный медиаконвертер одномод 30 км</t>
  </si>
  <si>
    <t>DMC-F60SC/A1A</t>
  </si>
  <si>
    <t xml:space="preserve">                D-Link DMC-F60SC/A1A Автономный медиаконвертер одномод 60 км</t>
  </si>
  <si>
    <t>DMC-G01LC/A1A</t>
  </si>
  <si>
    <t xml:space="preserve">                D-Link DMC-G01LC/A1A  Автономный медиаконвертер Gigabit Ethernet</t>
  </si>
  <si>
    <t>DPN-304L</t>
  </si>
  <si>
    <t xml:space="preserve">                D-Link DPN-304L</t>
  </si>
  <si>
    <t xml:space="preserve">            Модемы</t>
  </si>
  <si>
    <t>DCM - 202</t>
  </si>
  <si>
    <t xml:space="preserve">                D-Link DCM - 202 Модем высокоскоростной кабельный</t>
  </si>
  <si>
    <t>DSL-2500U/BRC/D</t>
  </si>
  <si>
    <t xml:space="preserve">                D-Link DSL-2500U/BRC/D Маршрутизатор/модем</t>
  </si>
  <si>
    <t xml:space="preserve">DSL-2500U/BRU/D </t>
  </si>
  <si>
    <t xml:space="preserve">                D-Link DSL-2500U/BRU/D Маршрутизатор/модем</t>
  </si>
  <si>
    <t xml:space="preserve">DSL-2540U/BRU/T1B </t>
  </si>
  <si>
    <t xml:space="preserve">                D-Link DSL-2540U/BRU/T1B  Маршрутизатор/Модем/Коммутатор</t>
  </si>
  <si>
    <t xml:space="preserve">DSL-2640U/RA/U2A </t>
  </si>
  <si>
    <t xml:space="preserve">                D-Link DSL-2640U/RA/U2A  Маршрутизатор/Модем/Точка доступа</t>
  </si>
  <si>
    <t xml:space="preserve">DSL-2650U/RA/U1A </t>
  </si>
  <si>
    <t xml:space="preserve">                D-Link DSL-2650U/RA/U1A Маршрутизатор/Модем/Точка доступа</t>
  </si>
  <si>
    <t>DSL-2740U/RA/U1A</t>
  </si>
  <si>
    <t xml:space="preserve">                D-Link DSL-2740U/RA/U1A Маршрутизатор/Модем 300Мб</t>
  </si>
  <si>
    <t>DSL-2750U/RA/U2A</t>
  </si>
  <si>
    <t xml:space="preserve">                D-Link DSL-2750U/RA/U2A Маршрутизатор/Модем 300Мб</t>
  </si>
  <si>
    <t>DSL-30CF ADSL_</t>
  </si>
  <si>
    <t xml:space="preserve">                D-Link DSL-30CF ADSL сплиттер для ADSL модемов</t>
  </si>
  <si>
    <t xml:space="preserve">            Операторское ADSL-оборудование</t>
  </si>
  <si>
    <t>DAS-3216/RU</t>
  </si>
  <si>
    <t xml:space="preserve">                D-Link DAS-3216/RU IP DSLAM с 8 ADSL-портами и 1 портом 10/100BASE-TX</t>
  </si>
  <si>
    <t>DAS-3224/EA/D1A</t>
  </si>
  <si>
    <t xml:space="preserve">                D-Link DAS-3224/EA/D1A IP DSLAM с 24 ADSL-портами и 2 комбо-портами 100/1000Base-T/SFP</t>
  </si>
  <si>
    <t>DAS-3248/EA/D1A</t>
  </si>
  <si>
    <t xml:space="preserve">                D-Link DAS-3248/EA/D1A IP DSLAM с 48 ADSL-портами и 2 комбо-портами 100/1000Base-T/SFP</t>
  </si>
  <si>
    <t xml:space="preserve">            Переключатели KVM</t>
  </si>
  <si>
    <t>DKVM-4K/A7A</t>
  </si>
  <si>
    <t xml:space="preserve">                D-Link DKVM-4K/A7A 4-порт переключатель KVM с портами PS/2 и VGA</t>
  </si>
  <si>
    <t>DKVM-4U/A5A</t>
  </si>
  <si>
    <t xml:space="preserve">                D-Link DKVM-4U/A5A 4-порт переключатель KVM с портами USB</t>
  </si>
  <si>
    <t>DKVM-CB</t>
  </si>
  <si>
    <t xml:space="preserve">                D-Link DKVM-CB Кабель KVM для подключения клавиатуры, мыши и монитора  1,8м</t>
  </si>
  <si>
    <t xml:space="preserve">DKVM-CB3 </t>
  </si>
  <si>
    <t xml:space="preserve">                D-Link DKVM-CB3 Комплект кабелей для KVM переключ (3 м)</t>
  </si>
  <si>
    <t xml:space="preserve">DKVM-CB5 </t>
  </si>
  <si>
    <t xml:space="preserve">                D-Link DKVM-CB5 Комплект кабелей для KVM переключ (4,5 м)</t>
  </si>
  <si>
    <t xml:space="preserve">DKVM-CU </t>
  </si>
  <si>
    <t xml:space="preserve">                D-Link DKVM-CU Комплект кабелей для KVM переключ (1,8 м)</t>
  </si>
  <si>
    <t xml:space="preserve">DKVM-CU3 </t>
  </si>
  <si>
    <t xml:space="preserve">                D-Link DKVM-CU3 Комплект кабелей для KVM переключ (3 м)</t>
  </si>
  <si>
    <t>DKVM-IP1/B1A</t>
  </si>
  <si>
    <t xml:space="preserve">                D-Link DKVM-IP1/B1A  IP KVM переключатель 1 портовый</t>
  </si>
  <si>
    <t xml:space="preserve">DKVM-IP8  </t>
  </si>
  <si>
    <t xml:space="preserve">                D-Link DKVM-IP8  IP КВМ переключатель 8-портовый</t>
  </si>
  <si>
    <t xml:space="preserve">DKVM-IPCB </t>
  </si>
  <si>
    <t xml:space="preserve">                D-Link DKVM-IPCB  Кабель KVM для устройств DKVM-IP1/IP8, длина 1,8м</t>
  </si>
  <si>
    <t>DKVM-IPCB5/10</t>
  </si>
  <si>
    <t xml:space="preserve">                D-Link DKVM-IPCB5/10  Кабель  для устройств DKVM-IP1/IP8, </t>
  </si>
  <si>
    <t xml:space="preserve">KVM-121 </t>
  </si>
  <si>
    <t xml:space="preserve">                D-Link KVM-121 2-порт переключатель KVM с audio</t>
  </si>
  <si>
    <t>KVM-140/A1A</t>
  </si>
  <si>
    <t xml:space="preserve">                D-Link KVM-140/A1A  8-портовый переключатель KVM с портами PS/2 и VGA</t>
  </si>
  <si>
    <t>KVM-221/RU</t>
  </si>
  <si>
    <t xml:space="preserve">                D-Link KVM-221/RU 2-х портовый USB KVM переключатель</t>
  </si>
  <si>
    <t xml:space="preserve">KVM-401 </t>
  </si>
  <si>
    <t xml:space="preserve">                D-Link KVM-401 Кабель для KVM-440/450 длина  1,8 метров</t>
  </si>
  <si>
    <t xml:space="preserve">KVM-402 </t>
  </si>
  <si>
    <t xml:space="preserve">                D-Link KVM-402 Кабель для KVM-440/450 длина  3 метров</t>
  </si>
  <si>
    <t xml:space="preserve">KVM-403 </t>
  </si>
  <si>
    <t xml:space="preserve">                D-Link KVM-403 Кабель для KVM-440/450 длина  5 метров</t>
  </si>
  <si>
    <t xml:space="preserve">KVM-440/Е </t>
  </si>
  <si>
    <t xml:space="preserve">                D-Link KVM-440/Е 8-портовый пере-тель KVM с портами PS2/USB</t>
  </si>
  <si>
    <t xml:space="preserve">KVM-450/Е </t>
  </si>
  <si>
    <t xml:space="preserve">                D-Link KVM-450/Е 16-портовый пере-тель KVM с портами PS2/USB</t>
  </si>
  <si>
    <t xml:space="preserve">            Шлюзы VOIP, телефоны IP</t>
  </si>
  <si>
    <t>DPH-150S/F4A</t>
  </si>
  <si>
    <t xml:space="preserve">                D-Link DPH-150S/F4A  IP-телефон SIP</t>
  </si>
  <si>
    <t>DPH-150S/F4B</t>
  </si>
  <si>
    <t xml:space="preserve">                D-Link DPH-150S/F4B  IP-телефон SIP</t>
  </si>
  <si>
    <t>DPH-150SE/F4A</t>
  </si>
  <si>
    <t xml:space="preserve">                D-Link DPH-150SE/F4A IP-телефон протокол SIP с  РоЕ</t>
  </si>
  <si>
    <t>DPH-400EDM/E/F3</t>
  </si>
  <si>
    <t xml:space="preserve">                D-Link DPH-400EDM/E/F3 Модуль расширения клавиш</t>
  </si>
  <si>
    <t>DPH-400S/E/F3</t>
  </si>
  <si>
    <t xml:space="preserve">                D-Link DPH-400S/E/F3  IP-телефон протокол SIP </t>
  </si>
  <si>
    <t>DPH-400SE/E/F3</t>
  </si>
  <si>
    <t xml:space="preserve">                D-Link DPH-400SE/E/F3  IP-телефон протокол SIP с РоЕ</t>
  </si>
  <si>
    <t>DVA-G3672B</t>
  </si>
  <si>
    <t xml:space="preserve">                D-Link DVA-G3672B Wireless ADSL Annex A Router</t>
  </si>
  <si>
    <t>DVG-2024S</t>
  </si>
  <si>
    <t xml:space="preserve">                D-Link DVG-2024S шлюз с 24 портами FXS, 1 портом 10/100BAS</t>
  </si>
  <si>
    <t xml:space="preserve">DVG-2032S/16CO/C1A </t>
  </si>
  <si>
    <t xml:space="preserve">                D-Link DVG-2032S/16CO/C1A Шлюз VoIP 16 порта FXS</t>
  </si>
  <si>
    <t>DVG-2032S/16MO/C1A</t>
  </si>
  <si>
    <t xml:space="preserve">                D-Link DVG-2032S/16MO/C1A Модуль расширения на 16 FXS портов</t>
  </si>
  <si>
    <t>DVG-3016S</t>
  </si>
  <si>
    <t xml:space="preserve">                D-Link DVG-3016S Шлюз VoIP 16 FXO</t>
  </si>
  <si>
    <t>DVG-3032S</t>
  </si>
  <si>
    <t xml:space="preserve">                D-Link DVG-3032S Шлюз VoIP 32 порта FXO</t>
  </si>
  <si>
    <t>DVG-4032S</t>
  </si>
  <si>
    <t xml:space="preserve">                D-Link DVG-4032S Шлюз VoIP 16FXO+16FXS порта</t>
  </si>
  <si>
    <t>DVG-4088S</t>
  </si>
  <si>
    <t xml:space="preserve">                D-Link DVG-4088S Шлюз VoIP 8 FXO+8 FXS порта</t>
  </si>
  <si>
    <t>DVG-5004S</t>
  </si>
  <si>
    <t xml:space="preserve">                D-Link DVG-5004S Шлюз VoIP 4FXS порта</t>
  </si>
  <si>
    <t>DVG-5008SG/A1A</t>
  </si>
  <si>
    <t xml:space="preserve">                D-Link DVG-5008SG/A1A Шлюз VoIP 8 FXS порта</t>
  </si>
  <si>
    <t>DVG-5402SP</t>
  </si>
  <si>
    <t xml:space="preserve">                D-Link DVG-5402SP  Шлюз VoIP 2 FXS порта 1 FXO</t>
  </si>
  <si>
    <t>DVG-6004S</t>
  </si>
  <si>
    <t xml:space="preserve">                D-Link DVG-6004S Шлюз VoIP 4 FXO порта</t>
  </si>
  <si>
    <t>DVG-6008S</t>
  </si>
  <si>
    <t xml:space="preserve">                D-Link DVG-6008S Шлюз VoIP 8 FXO порта</t>
  </si>
  <si>
    <t>DVG-7111S</t>
  </si>
  <si>
    <t xml:space="preserve">                D-Link DVG-7111S адаптер с 1 портом FXS, 1 портом FXO, 1</t>
  </si>
  <si>
    <t xml:space="preserve">DVG-N5402SP/1S/C1A </t>
  </si>
  <si>
    <t xml:space="preserve">                D-Link DVG-N5402SP/1S/C1A Беспроводной маршрутизатор с 1 FXS-портом</t>
  </si>
  <si>
    <t>DVG-N5402SP/2S1U/C1A</t>
  </si>
  <si>
    <t xml:space="preserve">                D-Link DVG-N5402SP/2S1U/C1A Беспроводной маршрутизатор с поддержкой 3G, 2 FXS-портами и USB-портом</t>
  </si>
  <si>
    <t xml:space="preserve">            Экраны, дисковые массивы</t>
  </si>
  <si>
    <t>DFL-1660/A1N</t>
  </si>
  <si>
    <t xml:space="preserve">                D-Link DFL-1660/A1N Межсетевой экран NetDefend</t>
  </si>
  <si>
    <t>DFL-2500</t>
  </si>
  <si>
    <t xml:space="preserve">                D-Link DFL-2500 Защитный экран до 600 компьютеров</t>
  </si>
  <si>
    <t>DFL-2560</t>
  </si>
  <si>
    <t xml:space="preserve">                D-Link DFL-2560 Межсетевой экран NetDefend с 10 настраиваемыми портами Gigabit Ethernet и 2 USB порт</t>
  </si>
  <si>
    <t>DFL-260-AV-12</t>
  </si>
  <si>
    <t xml:space="preserve">                D-Link DFL-260-AV-12 Лицензия</t>
  </si>
  <si>
    <t>DFL-260-IPS-12</t>
  </si>
  <si>
    <t xml:space="preserve">                D-Link DFL-260-IPS-12 Лицензия</t>
  </si>
  <si>
    <t>DFL-260-WCF-12</t>
  </si>
  <si>
    <t xml:space="preserve">                D-Link DFL-260-WCF-12 Лицензия</t>
  </si>
  <si>
    <t>DFL-260E/A1N</t>
  </si>
  <si>
    <t xml:space="preserve">                D-Link DFL-260E/A1N NETDEFEND межсетевой экран для малого бизнеса </t>
  </si>
  <si>
    <t>DFL-860-AV-12</t>
  </si>
  <si>
    <t xml:space="preserve">                D-Link DFL-860-AV-12 Лицензия</t>
  </si>
  <si>
    <t>DFL-860-IPS-12</t>
  </si>
  <si>
    <t xml:space="preserve">                D-Link DFL-860-IPS-12 Лицензия</t>
  </si>
  <si>
    <t>DFL-860-WCF-12</t>
  </si>
  <si>
    <t xml:space="preserve">                D-Link DFL-860-WCF-12 Лицензия</t>
  </si>
  <si>
    <t xml:space="preserve">DFL-860 </t>
  </si>
  <si>
    <t xml:space="preserve">                D-Link DFL-860E Межсетевой экран NetDefend UTM </t>
  </si>
  <si>
    <t>DNS-1200-05/A1A</t>
  </si>
  <si>
    <t xml:space="preserve">                D-Link DNS-1200-05/A1A Сетевой дисковый массив ShareCenter Pro 1200 с 5 отсеками для жестких дисков </t>
  </si>
  <si>
    <t>DNS-320L/A3B</t>
  </si>
  <si>
    <t xml:space="preserve">                D-Link DNS-320L/A3B сетевой 2 -х дисковый массив</t>
  </si>
  <si>
    <t>DNS-327L/A1B</t>
  </si>
  <si>
    <t xml:space="preserve">                D-Link DNS-327L/A1B Облачный сетевой накопитель с 2 отсеками для жестких дисков</t>
  </si>
  <si>
    <t>DNS-340L/A1A</t>
  </si>
  <si>
    <t xml:space="preserve">                D-Link DNS-340L/A1A сетевой 4-х дисковый массив</t>
  </si>
  <si>
    <t>DNS-346</t>
  </si>
  <si>
    <t xml:space="preserve">                D-Link DNS-346 Сетевой 4-дисковый массив</t>
  </si>
  <si>
    <t xml:space="preserve">DSA-3110/A1A </t>
  </si>
  <si>
    <t xml:space="preserve">                D-Link DSA-3110/A1A Концентратор доступа</t>
  </si>
  <si>
    <t>DSM-380</t>
  </si>
  <si>
    <t xml:space="preserve">                D-Link DSM-380 HD-медиаплеер Boxee Box </t>
  </si>
  <si>
    <t>DSR-1000/A1A</t>
  </si>
  <si>
    <t xml:space="preserve">                D-Link DSR-1000/A1A Межсетевой экран с поддержкой VPN, 2 портами WAN + 4 портами LAN 10/100/1000Base</t>
  </si>
  <si>
    <t>DSR-1000N/A1A</t>
  </si>
  <si>
    <t xml:space="preserve">                D-Link DSR-1000N/A1A Беспроводной двухдиапазонный 2.4/5 ГГц   межсетевой экран с поддержкой VPN</t>
  </si>
  <si>
    <t>DSR-1000N/EEU</t>
  </si>
  <si>
    <t xml:space="preserve">                D-Link DSR-1000N/EEU Беспроводной двухдиапазонный 2.4/5 ГГц   межсетевой экран с поддержкой VPN</t>
  </si>
  <si>
    <t>DSR-150/A2A</t>
  </si>
  <si>
    <t xml:space="preserve">                D-Link DSR-150/A2A Сервисный маршрутизатор 8 LAN-портов 10/100 Мбит/с + 1 порт USB  2.0</t>
  </si>
  <si>
    <t>DSR-150N/A2A</t>
  </si>
  <si>
    <t xml:space="preserve">                D-Link DSR-150N/A2A Беспроводной сервисный маршрутизатор 8 LAN-портов 10/100 Мбит/с+ 1 порт USB  2.0</t>
  </si>
  <si>
    <t>DSR-250/A1</t>
  </si>
  <si>
    <t xml:space="preserve">                D-Link DSR-250/A1A Межсетевой экран с поддержкой VPN, 1 портом WAN + 8 портами LAN 10/100/1000</t>
  </si>
  <si>
    <t>DSR-250N</t>
  </si>
  <si>
    <t xml:space="preserve">                D-Link DSR-250N Беспроводной 802.11n межсетевой экран с поддержкой VPN</t>
  </si>
  <si>
    <t>DSR-500N/EEU</t>
  </si>
  <si>
    <t xml:space="preserve">                D-Link DSR-500N/EEU Межсетевой экран с поддержкой VPN, с 2 портами WAN, 4 портами LAN 10/100/1000Bas</t>
  </si>
  <si>
    <t>DSR-500N/RU</t>
  </si>
  <si>
    <t xml:space="preserve">                D-Link DSR-500N/RU Межсетевой экран с поддержкой VPN, с 2 портами WAN, 4 портами LAN 10/100/1000Bas</t>
  </si>
  <si>
    <t>DWC-1000</t>
  </si>
  <si>
    <t xml:space="preserve">                D-Link DWC-1000 Беспроводной контроллер c 2 портами 10/100/1000 Option* + 4 портами 10/100/1000 LAN</t>
  </si>
  <si>
    <t>DWC-1000-AP6</t>
  </si>
  <si>
    <t xml:space="preserve">                D-Link DWC-1000-AP6 Лицензия</t>
  </si>
  <si>
    <t>DWC-1000-VPN</t>
  </si>
  <si>
    <t xml:space="preserve">                D-Link DWC-1000-VPN Функции VPN, маршрутизатора и межсетевого экрана</t>
  </si>
  <si>
    <t xml:space="preserve">        D-Link</t>
  </si>
  <si>
    <t>Archer T2U</t>
  </si>
  <si>
    <t xml:space="preserve">                TP-Link Archer T2U AC600 Беспроводной двухдиапазонный сетевой USB-адаптер</t>
  </si>
  <si>
    <t>Archer T4U</t>
  </si>
  <si>
    <t xml:space="preserve">                TP-Link Archer T4U AC1200 Беспроводной двухдиапазонный сетевой USB-адаптер</t>
  </si>
  <si>
    <t>TF-3239DL</t>
  </si>
  <si>
    <t xml:space="preserve">                TP-Link TF-3239DL 10/100 Мбит/с сетевой адаптер PCI</t>
  </si>
  <si>
    <t>TG-3269</t>
  </si>
  <si>
    <t xml:space="preserve">                TP-Link TG-3269 Гигабитный сетевой адаптер PCI</t>
  </si>
  <si>
    <t>TG-3468</t>
  </si>
  <si>
    <t xml:space="preserve">                TP-Link TG-3468 Гигабитный сетевой адаптер PCI Express</t>
  </si>
  <si>
    <t>TL-PA2010(EU)</t>
  </si>
  <si>
    <t xml:space="preserve">                TP-Link TL-PA2010(EU)  AV200 Nano адаптер Powerline</t>
  </si>
  <si>
    <t>TL-PA4010(EU)</t>
  </si>
  <si>
    <t xml:space="preserve">                TP-Link TL-PA4010(EU) AV500 Nano адаптер Powerline</t>
  </si>
  <si>
    <t>TL-PA4010KIT</t>
  </si>
  <si>
    <t xml:space="preserve">                TP-Link TL-PA4010KIT Комплект мини Powerline адаптеров для передачи данных со скоростью до 500 Мбит</t>
  </si>
  <si>
    <t>TL-PA4010PKIT(EU)</t>
  </si>
  <si>
    <t xml:space="preserve">                TP-Link TL-PA4010PKIT(EU) AV500 Комплект адаптеров Powerline со встроенной электророзеткой</t>
  </si>
  <si>
    <t>TL-PA4020PKIT(EU)</t>
  </si>
  <si>
    <t xml:space="preserve">                TP-Link TL-PA4020PKIT(EU) AV500 комплект адаптеров Powerline со встроенной электророзеткой</t>
  </si>
  <si>
    <t>TL-PA4030KIT(EU)</t>
  </si>
  <si>
    <t xml:space="preserve">                TP-Link TL-PA4030KIT(EU) Комплект Mini адаптер Powerline стандарта AV500 с 3 портами</t>
  </si>
  <si>
    <t>TL-POE10R</t>
  </si>
  <si>
    <t xml:space="preserve">                TP-Link TL-POE10R Разветвитель PoE</t>
  </si>
  <si>
    <t>TL-POE150S</t>
  </si>
  <si>
    <t xml:space="preserve">                TP-Link TL-POE150S Инжектор PoE</t>
  </si>
  <si>
    <t>TL-POE200</t>
  </si>
  <si>
    <t xml:space="preserve">                TP-Link TL-POE200 Набор адаптеров РоЕ</t>
  </si>
  <si>
    <t>TL-WDN3200</t>
  </si>
  <si>
    <t xml:space="preserve">                TP-Link TL-WDN3200 Двухдиапазонный беспроводной сетевой USB-адаптер до 300 Мб</t>
  </si>
  <si>
    <t>TL-WDN4800</t>
  </si>
  <si>
    <t xml:space="preserve">                TP-Link TL-WDN4800 Беспроводной двухдиапазонный сетевой PCI Express-адаптер до 450 Mб</t>
  </si>
  <si>
    <t>TL-WN7200ND</t>
  </si>
  <si>
    <t xml:space="preserve">                TP-Link TL-WN7200ND Беспроводной 150 Мбит/с USB-адаптер высокой мощности</t>
  </si>
  <si>
    <t>TL-WN722N(RU)</t>
  </si>
  <si>
    <t xml:space="preserve">                TP-Link TL-WN722N(RU) Беспроводной 150 Мбит/с USB-адаптер повышенной мощности</t>
  </si>
  <si>
    <t>TL-WN723N(RU)</t>
  </si>
  <si>
    <t xml:space="preserve">                TP-Link TL-WN723N(RU) Компактный беспроводной сетевой USB-адаптер серии N 150 Мбит/с</t>
  </si>
  <si>
    <t>TL-WN725N(RU)</t>
  </si>
  <si>
    <t xml:space="preserve">                TP-Link TL-WN725N(RU) Беспроводной Nano USB-адаптер серии N, скорость до 150 Мбит/с</t>
  </si>
  <si>
    <t>TL-WN727N(RU)</t>
  </si>
  <si>
    <t xml:space="preserve">                TP-Link TL-WN727N(RU) Бесп-дной сетевой USB-адаптер  со скоростью передачи данных 150 Мбит/с</t>
  </si>
  <si>
    <t>TL-WN751ND(RU)</t>
  </si>
  <si>
    <t xml:space="preserve">                TP-Link TL-WN751ND(RU) Беспроводной сетевой адаптер PCI 150Мб/с</t>
  </si>
  <si>
    <t>TL-WN781ND</t>
  </si>
  <si>
    <t xml:space="preserve">                TP-Link TL-WN781ND Беспроводной сетевой адаптер PCI Express 150Мб/с</t>
  </si>
  <si>
    <t>TL-WN8200ND</t>
  </si>
  <si>
    <t xml:space="preserve">                TP-Link TL-WN8200ND Высокомощный беспроводной сетевой USB-адаптер серии N, скорость передачи данных </t>
  </si>
  <si>
    <t>TL-WN821N(RU)</t>
  </si>
  <si>
    <t xml:space="preserve">                TP-Link TL-WN821N(RU) USB-адаптер серии N со скоростью передачи данных до 300 Мбит/с</t>
  </si>
  <si>
    <t>TL-WN822N(RU)</t>
  </si>
  <si>
    <t xml:space="preserve">                TP-Link TL-WN822N(RU) Беспроводной сетевой USB-адаптер высокого усиления, скорость до 300 Мбит/с</t>
  </si>
  <si>
    <t>TL-WN823N(RU)</t>
  </si>
  <si>
    <t xml:space="preserve">                TP-Link TL-WN823N(RU) Беспроводной сетевой мини USB-адаптер серии N, скорость до 300 Мбит/с</t>
  </si>
  <si>
    <t>TL-WN851ND(RU)</t>
  </si>
  <si>
    <t xml:space="preserve">                TP-Link TL-WN851ND(RU) Беспроводной сетевой адаптер на базе шины PCI до 300 Мб</t>
  </si>
  <si>
    <t>TL-WN881ND</t>
  </si>
  <si>
    <t xml:space="preserve">                TP-Link TL-WN881ND Беспроводной сетевой адаптер на базе шины PCI Express до 300Мб</t>
  </si>
  <si>
    <t>TL-WPA2220KIT(EU)</t>
  </si>
  <si>
    <t xml:space="preserve">                TP-Link TL-WPA2220KIT(EU) Powerline адаптеры с функцией усилителя беспроводного сигнала, на 300 Мб</t>
  </si>
  <si>
    <t>TL-WPA4220</t>
  </si>
  <si>
    <t xml:space="preserve">                TP-Link TL-WPA4220 AV500 Адаптер Powerline с функцией усилителя беспроводного сигнала, 300Мб</t>
  </si>
  <si>
    <t>TL-WPA4220KIT(EU)</t>
  </si>
  <si>
    <t xml:space="preserve">                TP-Link TL-WPA4220KIT AV500 Комплект адаптеров Powerline с функцией усилителя беспроводного сигнала.</t>
  </si>
  <si>
    <t>TL-PA2010KIT(EU)</t>
  </si>
  <si>
    <t xml:space="preserve">                TP-LinkTL-PA2010KIT(EU) Комплект мини Powerline адаптеров</t>
  </si>
  <si>
    <t>CPE210</t>
  </si>
  <si>
    <t xml:space="preserve">                TP-Link CPE210 Наружная беспроводная точка доступа 2,4 ГГц 300 Мбит/с 9 дБи </t>
  </si>
  <si>
    <t>CPE510</t>
  </si>
  <si>
    <t xml:space="preserve">                TP-Link CPE510 5 ГГц 300 Мбит/с 13 дБи Наружная беспроводная точка доступа</t>
  </si>
  <si>
    <t>EAP110</t>
  </si>
  <si>
    <t xml:space="preserve">                TP-Link EAP110 Беспроводная потолочная точка доступа серии N, скорость до 300 Мбит/с</t>
  </si>
  <si>
    <t>EAP120</t>
  </si>
  <si>
    <t xml:space="preserve">                TP-Link EAP120 Беспроводная гигабитная потолочная точка доступа серии N, скорость до 300 Мбит/с</t>
  </si>
  <si>
    <t>EAP220</t>
  </si>
  <si>
    <t xml:space="preserve">                TP-Link EAP220 N600 Беспроводная двухдиапазонная гигабитная потолочная точка доступа</t>
  </si>
  <si>
    <t>TL-ANT200PT</t>
  </si>
  <si>
    <t xml:space="preserve">                TP-Link TL-ANT200PT 0,5-метровый кабель Pigtail с низким уровнем потерь</t>
  </si>
  <si>
    <t>TL-ANT2405C</t>
  </si>
  <si>
    <t xml:space="preserve">                TP-Link TL-ANT2405C 2.4ГГц Внутренняя настольная всенаправленная 5дБи антенна</t>
  </si>
  <si>
    <t>TL-ANT2406A</t>
  </si>
  <si>
    <t xml:space="preserve">                TP-Link TL-ANT2406A 2.4ГГц Внутренняя направленная 6дБи антенна</t>
  </si>
  <si>
    <t>TL-ANT2408CL</t>
  </si>
  <si>
    <t xml:space="preserve">                TP-Link TL-ANT2408CL 2.4ГГц Внутренняя всенаправленная 8дБи антенна</t>
  </si>
  <si>
    <t>TL-ANT2409A</t>
  </si>
  <si>
    <t xml:space="preserve">                TP-Link TL-ANT2409A 2.4ГГц направленная 9дБи антенна</t>
  </si>
  <si>
    <t>TL-ANT2409B</t>
  </si>
  <si>
    <t xml:space="preserve">                TP-Link TL-ANT2409B 2.4ГГц Внешняя направленная 9дБи антенна</t>
  </si>
  <si>
    <t>TL-ANT2412D</t>
  </si>
  <si>
    <t xml:space="preserve">                TP-Link TL-ANT2412D 2.4ГГц Внешняя всенаправленная 12дБи антенна</t>
  </si>
  <si>
    <t>TL-ANT2414A</t>
  </si>
  <si>
    <t xml:space="preserve">                TP-Link TL-ANT2414A 2,4ГГц Направленная внешняя 14дБи антенна</t>
  </si>
  <si>
    <t>TL-ANT2414B</t>
  </si>
  <si>
    <t xml:space="preserve">                TP-Link TL-ANT2414B 2,4ГГц Направленная внешняя 14дБи антенна</t>
  </si>
  <si>
    <t>TL-ANT2424B</t>
  </si>
  <si>
    <t xml:space="preserve">                TP-Link TL-ANT2424B 2,4ГГц сеточная параболическая 24дБи антенна</t>
  </si>
  <si>
    <t>TL-ANT24EC12N</t>
  </si>
  <si>
    <t xml:space="preserve">                TP-Link TL-ANT24EC12N 12-метровый удлиняющий антенный кабель с низким уровнем потерь</t>
  </si>
  <si>
    <t>TL-ANT24EC3S</t>
  </si>
  <si>
    <t xml:space="preserve">                TP-Link TL-ANT24EC3S 3-метровый удлиняющий антенный кабель </t>
  </si>
  <si>
    <t>TL-ANT24EC5S</t>
  </si>
  <si>
    <t xml:space="preserve">                TP-Link TL-ANT24EC5S 5-метровый удлиняющий антенный кабель</t>
  </si>
  <si>
    <t>TL-ANT24EC6N</t>
  </si>
  <si>
    <t xml:space="preserve">                TP-Link TL-ANT24EC6N 6-метровый удлиняющий антенный кабель с низким уровнем потерь</t>
  </si>
  <si>
    <t>TL-ANT24PT3</t>
  </si>
  <si>
    <t xml:space="preserve">                TP-Link TL-ANT24PT3 Кабель пигтейл 3м (Pigtail)</t>
  </si>
  <si>
    <t>TL-ANT24SP</t>
  </si>
  <si>
    <t xml:space="preserve">                TP-Link TL-ANT24SP Предохранитель от скачков напряжения</t>
  </si>
  <si>
    <t>TL-ANT5823B</t>
  </si>
  <si>
    <t xml:space="preserve">                TP-Link TL-ANT5823B  Внешняя направленная 23 дБи антенна 5 ГГц</t>
  </si>
  <si>
    <t>TL-WA5110G</t>
  </si>
  <si>
    <t xml:space="preserve">                TP-Link TL-WA5110G Беспроводная точка доступа высокой мощности, скорость до 54 Мбит/с</t>
  </si>
  <si>
    <t>TL-WA5210G</t>
  </si>
  <si>
    <t xml:space="preserve">                TP-Link TL-WA5210G 2.4ГГц Внешняя точка доступа высокой мощности (СРЕ) 802.11b/g c Poe</t>
  </si>
  <si>
    <t>TL-WA701ND</t>
  </si>
  <si>
    <t xml:space="preserve">                TP-Link TL-WA701ND 150Мбит/с беспроводная точка доступа серии N</t>
  </si>
  <si>
    <t>TL-WA7210N</t>
  </si>
  <si>
    <t xml:space="preserve">                TP-Link TL-WA7210N 2.4ГГц Внешняя точка доступа до 150Мб c поддержкой  Poe</t>
  </si>
  <si>
    <t>TL-WA801ND</t>
  </si>
  <si>
    <t xml:space="preserve">                TP-Link TL-WA801ND 300Мбит/с беспроводная точка доступа серии N</t>
  </si>
  <si>
    <t>TL-WA830RE</t>
  </si>
  <si>
    <t xml:space="preserve">                TP-Link TL-WA830RE Усилитель беспроводного сигнала до 300Мбит/с </t>
  </si>
  <si>
    <t>TL-WA850RE(RU)</t>
  </si>
  <si>
    <t xml:space="preserve">                TP-Link TL-WA850RE(RU) Универсальный усилитель беспроводного сигнала, скорость до 300 Мбит/с</t>
  </si>
  <si>
    <t>TL-WA854RE(RU)</t>
  </si>
  <si>
    <t xml:space="preserve">                TP-Link TL-WA854RE(RU) Универсальный усилитель беспроводного сигнала, скорость до 300 Мбит/с</t>
  </si>
  <si>
    <t>TL-WA860RE(EU)</t>
  </si>
  <si>
    <t xml:space="preserve">                TP-Link TL-WA860RE(EU) Усилитель беспроводного сигнала со встроенной розеткой, 300Мб</t>
  </si>
  <si>
    <t>TL-WA901ND(RU)</t>
  </si>
  <si>
    <t xml:space="preserve">                TP-Link TL-WA901ND(RU) 300Мбит/с беспроводная точка доступа серии N</t>
  </si>
  <si>
    <t xml:space="preserve">            Коммутаторы (свитчи, хабы)</t>
  </si>
  <si>
    <t>TL-SF1005D(RU)</t>
  </si>
  <si>
    <t xml:space="preserve">                TP-Link TL-SF1005D(RU) 5-портовый 10/100 Мбит/с настольный коммутатор</t>
  </si>
  <si>
    <t>TL-SF1008D(RU)</t>
  </si>
  <si>
    <t xml:space="preserve">                TP-Link TL-SF1008D(RU) 8-портовый 10/100 Мбит/с настольный коммутатор</t>
  </si>
  <si>
    <t>TL-SF1008P</t>
  </si>
  <si>
    <t xml:space="preserve">                TP-Link TL-SF1008P Коммутатор 8-порт10/100 неуправляемый с 4 PoE</t>
  </si>
  <si>
    <t>TL-SF1016</t>
  </si>
  <si>
    <t xml:space="preserve">                TP-Link TL-SF1016 16-портовый 10/100 Мбит/с монтируемый в стойку коммутатор</t>
  </si>
  <si>
    <t>TL-SF1016D</t>
  </si>
  <si>
    <t xml:space="preserve">                TP-Link TL-SF1016D 16-портовый 10/100 Мбит/с настольный коммутатор</t>
  </si>
  <si>
    <t>TL-SF1016DS</t>
  </si>
  <si>
    <t xml:space="preserve">                TP-Link TL-SF1016DS 16-портовый Fast Ethernet настольный/монтируемый в стойку коммутатор</t>
  </si>
  <si>
    <t>TL-SF1024D</t>
  </si>
  <si>
    <t xml:space="preserve">                TP-Link TL-SF1024D 24-портовый Fast Ethernet настольный/монтируемый в стойку коммутатор</t>
  </si>
  <si>
    <t>TL-SF1024M</t>
  </si>
  <si>
    <t xml:space="preserve">                TP-Link TL-SF1024M 24-портовый 10/100 Мбит/с настольный коммутатор</t>
  </si>
  <si>
    <t>TL-SF1048</t>
  </si>
  <si>
    <t xml:space="preserve">                TP-Link TL-SF1048 48-портовый 10/100 Мбит/с монтируемый в стойку коммутатор</t>
  </si>
  <si>
    <t>TL-SG1005D</t>
  </si>
  <si>
    <t xml:space="preserve">                TP-Link TL-SG1005D 5-портовый гигабитный настольный коммутатор</t>
  </si>
  <si>
    <t>TL-SG1008</t>
  </si>
  <si>
    <t xml:space="preserve">                TP-Link TL-SG1008 8-портовый гигабитный коммутатор</t>
  </si>
  <si>
    <t>TL-SG1008D</t>
  </si>
  <si>
    <t xml:space="preserve">                TP-Link TL-SG1008D 8-портовый гигабитный настольный коммутатор</t>
  </si>
  <si>
    <t>TL-SG1008P</t>
  </si>
  <si>
    <t xml:space="preserve">                TP-Link TL-SG1008P 8-портовый гигабитный настольный коммутатор с 4 портами РоЕ</t>
  </si>
  <si>
    <t>TL-SG1008PE</t>
  </si>
  <si>
    <t xml:space="preserve">                TP-Link TL-SG1008PE 8-пор-ый настольный/монтируемый в стойку гигабитный коммутатор с 8 портами PoE+</t>
  </si>
  <si>
    <t>TL-SG1016</t>
  </si>
  <si>
    <t xml:space="preserve">                TP-Link TL-SG1016 16-портовый гигабитный коммутатор</t>
  </si>
  <si>
    <t>TL-SG1016D</t>
  </si>
  <si>
    <t xml:space="preserve">                TP-Link TL-SG1016D 16-портовый гигабитный коммутатор настольный/монтируемый</t>
  </si>
  <si>
    <t>TL-SG1016DE</t>
  </si>
  <si>
    <t xml:space="preserve">                TP-Link TL-SG1016DE Easy Smart гигабитный 16-портовый коммутатор</t>
  </si>
  <si>
    <t>TL-SG1024</t>
  </si>
  <si>
    <t xml:space="preserve">                TP-Link TL-SG1024 24-портовый гигабитный монтируемый в стойку коммутатор</t>
  </si>
  <si>
    <t>TL-SG1024D</t>
  </si>
  <si>
    <t xml:space="preserve">                TP-Link TL-SG1024D 24-портовый гигабитный настольный/монтируемый в стойку коммутатор</t>
  </si>
  <si>
    <t>TL-SG1024DE</t>
  </si>
  <si>
    <t xml:space="preserve">                TP-Link TL-SG1024DE Easy Smart гигабитный 24-портовый коммутатор</t>
  </si>
  <si>
    <t>TL-SG1048</t>
  </si>
  <si>
    <t xml:space="preserve">                TP-Link TL-SG1048 Гигабитный коммутатор 48 портов</t>
  </si>
  <si>
    <t>TL-SG105</t>
  </si>
  <si>
    <t xml:space="preserve">                TP-Link TL-SG105 5-портовый 10/100/1000 Мбит/с настольный коммутатор</t>
  </si>
  <si>
    <t>TL-SG108</t>
  </si>
  <si>
    <t xml:space="preserve">                TP-Link TL-SG108 8-портовый 10/100/1000 Мбит/с настольный коммутатор</t>
  </si>
  <si>
    <t>TL-SG2008</t>
  </si>
  <si>
    <t xml:space="preserve">                TP-Link TL-SG2008 Smart гигабитный 8-портовый коммутатор</t>
  </si>
  <si>
    <t>TL-SG2210P</t>
  </si>
  <si>
    <t xml:space="preserve">                TP-Link TL-SG2210P Smart гигабитный 8-портовый коммутатор PoE с 2 SFP-слотами</t>
  </si>
  <si>
    <t>TL-SG2216</t>
  </si>
  <si>
    <t xml:space="preserve">                TP-Link TL-SG2216  Упр-мый коммутатор 16- портов 10/100/1000  и 2 порта SFP</t>
  </si>
  <si>
    <t>TL-SG2424</t>
  </si>
  <si>
    <t xml:space="preserve">                TP-Link TL-SG2424 Smart гигабитный 24-портовый коммутатор с 4 комбинированными SFP-слотами</t>
  </si>
  <si>
    <t>TL-SG3210</t>
  </si>
  <si>
    <t xml:space="preserve">                TP-Link TL-SG3210 JetStream™ Гигабитный управляемый L2 коммутатор на 8 портов с 2 разъемами SFP</t>
  </si>
  <si>
    <t>TL-SG3216</t>
  </si>
  <si>
    <t xml:space="preserve">                TP-Link TL-SG3216 Упр-мый коммутатор 16- портов 10/100/1000  и 2 порта SFP</t>
  </si>
  <si>
    <t>TL-SG3424</t>
  </si>
  <si>
    <t xml:space="preserve">                TP-Link TL-SG3424 JetStream™  управляемый  коммутатор на 24 порта + 4 порта SFP</t>
  </si>
  <si>
    <t>TL-SG3424P</t>
  </si>
  <si>
    <t xml:space="preserve">                TP-Link TL-SG3424P TL-SG3424P JetStream™  управляемый  коммутатор на 24 порта + 4 порта SFP c PoE</t>
  </si>
  <si>
    <t xml:space="preserve">TL-SG5412F </t>
  </si>
  <si>
    <t xml:space="preserve">                TP-Link TL-SG5412F JetStream™  управляемый  коммутатор 12 SFP-слотов + 4 комба порта 1000Мб</t>
  </si>
  <si>
    <t xml:space="preserve">TL-SG5428 </t>
  </si>
  <si>
    <t xml:space="preserve">                TP-Link TL-SG5428 JetStream™  управляемый  коммутатор 2L на 24 порта + 4 порта SFP</t>
  </si>
  <si>
    <t>TL-SL1210</t>
  </si>
  <si>
    <t xml:space="preserve">                TP-Link TL-SL1210 Коммутатор с 2 гигабитными портами и 8 портов 10/100 Мбит/с</t>
  </si>
  <si>
    <t>TL-SL1226</t>
  </si>
  <si>
    <t xml:space="preserve">                TP-Link TL-SL1226  Коммутатор 24- порта 10/100  и 2 порт 10/100/1000</t>
  </si>
  <si>
    <t>TL-SL1351</t>
  </si>
  <si>
    <t xml:space="preserve">                TP-Link TL-SL1351  Коммутатор 48- портов 10/100  и 3 порт 10/100/1000</t>
  </si>
  <si>
    <t>TL-SL2210</t>
  </si>
  <si>
    <t xml:space="preserve">                TP-Link TL-SL2210 Smart коммутатор на 8 портов 10/100 Мбит/с и 2 гигабитных порта</t>
  </si>
  <si>
    <t>TL-SL2218</t>
  </si>
  <si>
    <t xml:space="preserve">                TP-Link TL-SL2218 Web-управляемый коммутатор  16- портов 10/100 Мб + 2 порта 10/100/1000Мб</t>
  </si>
  <si>
    <t>TL-SL2428</t>
  </si>
  <si>
    <t xml:space="preserve">                TP-Link TL-SL2428 Smart коммутатор с 24 портами 10/100 Мбит/с и 4 гигабитными портами</t>
  </si>
  <si>
    <t>TL-SL2452</t>
  </si>
  <si>
    <t xml:space="preserve">                TP-Link TL-SL2452 Smart коммутатор на 48 портов 10/100 Мбит/с и 4 гигабитных порта</t>
  </si>
  <si>
    <t>TL-SL3428</t>
  </si>
  <si>
    <t xml:space="preserve">                TP-Link TL-SL3428 L2 управляемый коммутатор с 24 портами 10/100 Мбит/с и 4 гигабитными портами</t>
  </si>
  <si>
    <t>TL-SL3452</t>
  </si>
  <si>
    <t xml:space="preserve">                TP-Link TL-SL3452 Упр-мый коммутатор 48- портов 10/100  и 4 порта 10/100/1000</t>
  </si>
  <si>
    <t>TL-SL5428E</t>
  </si>
  <si>
    <t xml:space="preserve">                TP-Link TL-SL5428E JetStream™ Упр-мый коммутатор 48- портов 10/100  и 4 порта 10/100/1000</t>
  </si>
  <si>
    <t xml:space="preserve">            Маршрутизаторы</t>
  </si>
  <si>
    <t>Archer C2(RU)</t>
  </si>
  <si>
    <t xml:space="preserve">                TP-Link Archer C2(RU) AC750 Двухдиапазонный беспроводной гигабитный маршрутизатор</t>
  </si>
  <si>
    <t>Archer C20</t>
  </si>
  <si>
    <t xml:space="preserve">                TP-Link Archer C20 AC750 Беспроводной двухдиапазонный маршрутизатор</t>
  </si>
  <si>
    <t>Archer C20i</t>
  </si>
  <si>
    <t xml:space="preserve">                TP-Link Archer C20i AC750 Беспроводной двухдиапазонный маршрутизатор</t>
  </si>
  <si>
    <t>Archer C5</t>
  </si>
  <si>
    <t xml:space="preserve">                TP-Link Archer C5 AC1200 Беспроводной двухдиапазонный гигабитный маршрутизатор</t>
  </si>
  <si>
    <t>Archer C50</t>
  </si>
  <si>
    <t xml:space="preserve">                TP-Link Archer C50 AC1200 Беспроводной двухдиапазонный маршрутизатор</t>
  </si>
  <si>
    <t>Archer C7(RU)</t>
  </si>
  <si>
    <t xml:space="preserve">                TP-Link Archer C7(RU) AC1750 Двухдиапазонный беспроводной гигабитный маршрутизатор</t>
  </si>
  <si>
    <t>Archer C8</t>
  </si>
  <si>
    <t xml:space="preserve">                TP-Link Archer C8 AC1750 Беспроводной двухдиапазонный гигабитный маршрутизатор</t>
  </si>
  <si>
    <t>Archer C9</t>
  </si>
  <si>
    <t xml:space="preserve">                TP-Link Archer C9 AC1900 Беспроводной двухдиапазонный гигабитный маршрутизатор</t>
  </si>
  <si>
    <t>Archer D5</t>
  </si>
  <si>
    <t xml:space="preserve">                TP-Link Archer D5 AC1200  Бес-ной гигабитный маршрутизатор со встроенным модемом ADSL2+</t>
  </si>
  <si>
    <t>Archer D7</t>
  </si>
  <si>
    <t xml:space="preserve">                TP-Link Archer D7 Бес-ной гигабитный маршрутизатор со встроенным модемом ADSL2+</t>
  </si>
  <si>
    <t>M5250</t>
  </si>
  <si>
    <t xml:space="preserve">                TP-Link M5250 Мобильный беспроводной 3G-маршрутизатор</t>
  </si>
  <si>
    <t>M5350</t>
  </si>
  <si>
    <t xml:space="preserve">                TP-Link M5350 Мобильный беспроводной 3G-маршрутизатор</t>
  </si>
  <si>
    <t>M5360</t>
  </si>
  <si>
    <t xml:space="preserve">                TP-Link M5360 Мобильный беспроводной 3G-маршрутизатор с аккумулятором Power Bank на 5200 мАч</t>
  </si>
  <si>
    <t>M7350</t>
  </si>
  <si>
    <t xml:space="preserve">                TP-Link M7350 Мобильный беспроводной LTE-Advanced маршрутизатор</t>
  </si>
  <si>
    <t>TL-ER6020</t>
  </si>
  <si>
    <t xml:space="preserve">                TP-Link TL-ER6020 SafeStream гигабитный VPN-маршрутизатор с 2 портами WAN</t>
  </si>
  <si>
    <t>TL-ER604W</t>
  </si>
  <si>
    <t xml:space="preserve">                TP-Link TL-ER604W SafeStream беспроводной широкополосный гигабитный VPN-маршрутизатор серии N</t>
  </si>
  <si>
    <t>TL-ER6120</t>
  </si>
  <si>
    <t xml:space="preserve">                TP-Link TL-ER6120 SafeStream гигабитный VPN-маршрутизатор с 2 портами WAN</t>
  </si>
  <si>
    <t>TL-MR3020(RU)</t>
  </si>
  <si>
    <t xml:space="preserve">                TP-Link TL-MR3020(RU) Портативный 3G/3.75G беспроводной маршрутизатор серии N 150 Мбит/с</t>
  </si>
  <si>
    <t>TL-MR3040</t>
  </si>
  <si>
    <t xml:space="preserve">                TP-Link TL-MR3040 Портативный 3G/4G беспроводной маршрутизатор до 150 Мбит/с</t>
  </si>
  <si>
    <t>TL-MR3220(RU)</t>
  </si>
  <si>
    <t xml:space="preserve">                TP-Link TL-MR3220(RU) Беспроводной маршрутизатор серии N с поддержкой стандартов 3G/4G 150 Мбит/с</t>
  </si>
  <si>
    <t>TL-MR3420(RU)</t>
  </si>
  <si>
    <t xml:space="preserve">                TP-Link TL-MR3420(RU) Беспроводной маршрутизатор серии N с поддержкой стандартов 3G/4G 300 Мбит/с</t>
  </si>
  <si>
    <t>TL-R402M</t>
  </si>
  <si>
    <t xml:space="preserve">                TP-Link TL-R402M Кабельный/ DSL маршрутизатор на 4 порта</t>
  </si>
  <si>
    <t>TL-R460</t>
  </si>
  <si>
    <t xml:space="preserve">                TP-Link TL-R460 Кабельный/ DSL маршрутизатор на 4 порта</t>
  </si>
  <si>
    <t>TL-R480T+</t>
  </si>
  <si>
    <t xml:space="preserve">                TP-Link TL-R480T+   Маршрутизатор с балансировкой нагрузки</t>
  </si>
  <si>
    <t>TL-R600VPN</t>
  </si>
  <si>
    <t xml:space="preserve">                TP-Link TL-R600VPN  Гигабитный широкополосный VPN-маршрутизатор на базе технологии SafeStream™</t>
  </si>
  <si>
    <t>TL-R860</t>
  </si>
  <si>
    <t xml:space="preserve">                TP-Link TL-R860 Кабельный/ DSL маршрутизатор на 8 портов</t>
  </si>
  <si>
    <t>TL-WDR3500</t>
  </si>
  <si>
    <t xml:space="preserve">                TP-Link TL-WDR3500  Двухдиапазонный беспроводной гигабитный маршрутизатор 300 Мбит/с</t>
  </si>
  <si>
    <t>TL-WDR3600</t>
  </si>
  <si>
    <t xml:space="preserve">                TP-Link TL-WDR3600  Двухдиапазонный беспроводной гигабитный маршрутизатор до  600 Мбит/с</t>
  </si>
  <si>
    <t>TL-WR1045ND</t>
  </si>
  <si>
    <t xml:space="preserve">                TP-Link TL-WR1045ND Беспроводной гигабитный маршрутизатор серии N, скорость до 450 Мбит/с</t>
  </si>
  <si>
    <t>TL-WR702N(RU)</t>
  </si>
  <si>
    <t xml:space="preserve">                TP-Link TL-WR702N(RU) Беспроводной Nano маршрутизатор  со скоростью передачи данных до 150 Мбит/с</t>
  </si>
  <si>
    <t>TL-WR720N(RU)</t>
  </si>
  <si>
    <t xml:space="preserve">                TP-Link TL-WR720N(RU) Беспроводной маршрутизатор серии N, скорость до 150 Мбит/с</t>
  </si>
  <si>
    <t>TL-WR740N(RU)</t>
  </si>
  <si>
    <t xml:space="preserve">                TP-Link TL-WR740N(RU) 150 Мбит/с беспроводной маршрутизатор серии N</t>
  </si>
  <si>
    <t>TL-WR741ND(RU)</t>
  </si>
  <si>
    <t xml:space="preserve">                TP-Link TL-WR741ND(RU) 150 Мбит/с беспроводной маршрутизатор серии N</t>
  </si>
  <si>
    <t>TL-WR840N(RU)</t>
  </si>
  <si>
    <t xml:space="preserve">                TP-Link TL-WR840N(RU) Беспроводной маршрутизатор серии N, скорость до 300 Мбит/с</t>
  </si>
  <si>
    <t>TL-WR841HP</t>
  </si>
  <si>
    <t xml:space="preserve">                TP-Link TL-WR841HP Высокомощный беспроводной маршрутизатор серии N, скорость до 300 Мбит/с</t>
  </si>
  <si>
    <t>TL-WR841N(RU)</t>
  </si>
  <si>
    <t xml:space="preserve">                TP-Link TL-WR841N(RU) 300 Мбит/с беспроводной маршрутизатор серии N</t>
  </si>
  <si>
    <t>TL-WR841ND(RU)</t>
  </si>
  <si>
    <t xml:space="preserve">                TP-Link TL-WR841ND(RU) 300 Мбит/с беспроводной маршрутизатор серии N</t>
  </si>
  <si>
    <t>TL-WR842ND(RU)</t>
  </si>
  <si>
    <t xml:space="preserve">                TP-Link TL-WR842ND(RU) Многофункциональный беспроводной маршрутизатор серии N 300Мб/с</t>
  </si>
  <si>
    <t>TL-WR843ND</t>
  </si>
  <si>
    <t xml:space="preserve">                TP-Link TL-WR843ND Беспроводная точка доступа/клиент-маршрутизатор, скорость до 300 Мбит/с</t>
  </si>
  <si>
    <t>TL-WR940N(RU)</t>
  </si>
  <si>
    <t xml:space="preserve">                TP-Link TL-WR940N(RU) Беспроводной маршрутизатор серии N, скорость до 300 Мбит/с</t>
  </si>
  <si>
    <t>TL-WR941ND(RU)</t>
  </si>
  <si>
    <t xml:space="preserve">                TP-Link TL-WR941ND(RU) 300 Мбит/с беспроводной маршрутизатор серии N</t>
  </si>
  <si>
    <t>Медиаконвертеры, трансиверы</t>
  </si>
  <si>
    <t>MC100CM</t>
  </si>
  <si>
    <t xml:space="preserve">                TP-Link MC100CM Медиаконвертер Многомод  2 км</t>
  </si>
  <si>
    <t>MC110CS</t>
  </si>
  <si>
    <t xml:space="preserve">                TP-Link MC110CS  Медиаконвертер одномод  2 км</t>
  </si>
  <si>
    <t>MC111CS</t>
  </si>
  <si>
    <t xml:space="preserve">                TP-Link MC111CS  Медиаконвертер WDM одномод  20 км</t>
  </si>
  <si>
    <t>MC112CS</t>
  </si>
  <si>
    <t xml:space="preserve">                TP-Link MC112CS  Медиаконвертер WDM одномод  20 км</t>
  </si>
  <si>
    <t>MC200CM</t>
  </si>
  <si>
    <t xml:space="preserve">                TP-Link MC200CM  Медиаконвертер многомод 0,55 км</t>
  </si>
  <si>
    <t>MC210CS</t>
  </si>
  <si>
    <t xml:space="preserve">                TP-Link MC210CS  Медиаконвертер одномод  15 км</t>
  </si>
  <si>
    <t>MC220L</t>
  </si>
  <si>
    <t xml:space="preserve">                TP-Link MC220L Гигабитный Ethernet медиаконвертер</t>
  </si>
  <si>
    <t>TL-SM311LM</t>
  </si>
  <si>
    <t xml:space="preserve">                TP-Link TL-SM311LM  Трансивер SFP многомод  550м</t>
  </si>
  <si>
    <t>TL-SM311LS</t>
  </si>
  <si>
    <t xml:space="preserve">                TP-Link TL-SM311LS  Трансивер SFP одномод  10км</t>
  </si>
  <si>
    <t>TL-SM321A</t>
  </si>
  <si>
    <t xml:space="preserve">                TP-Link TL-SM321A WDM Двунаправленный SFP модуль</t>
  </si>
  <si>
    <t>TL-SM321B</t>
  </si>
  <si>
    <t xml:space="preserve">                TP-Link TL-SM321B 1000Base-BX WDM Двунаправленный SFP модуль</t>
  </si>
  <si>
    <t>Archer D2</t>
  </si>
  <si>
    <t xml:space="preserve">                TP-Link Archer D2 AC750 Беспроводной двухдиапазонный гигабитный маршрутизатор со встроенным модемом </t>
  </si>
  <si>
    <t>TD-W8151N</t>
  </si>
  <si>
    <t xml:space="preserve">                TP-Link TD-W8151N Беспроводной маршрутизатор 150Mб  1 порт RJ45</t>
  </si>
  <si>
    <t>TD-W8901N(RU)</t>
  </si>
  <si>
    <t xml:space="preserve">                TP-Link TD-W8901N(RU)  Беспроводной маршрутизатор 150Mб  4 порт RJ45</t>
  </si>
  <si>
    <t>TD-W8950N</t>
  </si>
  <si>
    <t xml:space="preserve">                TP-Link TD-W8950N Беспроводной маршрутизатор 150Mб  4 порта RJ45</t>
  </si>
  <si>
    <t>TD-W8951ND(RU)</t>
  </si>
  <si>
    <t xml:space="preserve">                TP-Link TD-W8951ND(RU)  Беспроводной маршрутизатор 150Mб  4 порт RJ45</t>
  </si>
  <si>
    <t xml:space="preserve">TD-W8960N </t>
  </si>
  <si>
    <t xml:space="preserve">                TP-Link TD-W8960N Беспроводной маршрутизатор 300Mб  4 порт RJ45</t>
  </si>
  <si>
    <t>TD-W8961N(RU)</t>
  </si>
  <si>
    <t xml:space="preserve">                TP-Link TD-W8961N(RU) Беспроводной маршрутизатор  со встроенным модемом ADSL2+, скорость до 300Мб</t>
  </si>
  <si>
    <t>TD-W8961ND(RU)</t>
  </si>
  <si>
    <t xml:space="preserve">                TP-Link TD-W8961ND(RU)  Беспроводной маршрутизатор 300Mб  4 порт RJ45</t>
  </si>
  <si>
    <t xml:space="preserve">TD-W8968 </t>
  </si>
  <si>
    <t xml:space="preserve">                TP-Link TD-W8968  Беспроводной маршрутизатор 300Mб  4 порт RJ45 + 1 порт USB</t>
  </si>
  <si>
    <t>TD-W8970</t>
  </si>
  <si>
    <t xml:space="preserve">                TP-Link TD-W8970  Беспроводной маршрутизатор 300Mб  4 порт RJ45 10/100/1000 + 1 порта USB</t>
  </si>
  <si>
    <t>TD-W8980</t>
  </si>
  <si>
    <t xml:space="preserve">                TP-Link TD-W8980  N600 двухдиапазонный беспроводной маршрутизатор со встроенным модемом ADSL2+</t>
  </si>
  <si>
    <t>Принт-серверы</t>
  </si>
  <si>
    <t>TL-PS110P</t>
  </si>
  <si>
    <t xml:space="preserve">                TP-Link TL-PS110P Принт-сервер с 1 параллельным портом и 1 портом Fast Ethernet</t>
  </si>
  <si>
    <t>TL-PS110U</t>
  </si>
  <si>
    <t xml:space="preserve">                TP-Link TL-PS110U Принт-сервер с 1 портом USB 2.0 и 1 портом Fast Ethernet</t>
  </si>
  <si>
    <t>TL-PS310U</t>
  </si>
  <si>
    <t xml:space="preserve">                TP-Link TL-PS310U Многофункциональный принт-сервер с одним портом USB 2.0 и функцией хранения данных</t>
  </si>
  <si>
    <t>TL-WPS510U</t>
  </si>
  <si>
    <t xml:space="preserve">                TP-Link TL-WPS510U Беспроводной компактный принт-сервер, скорость до 150 Мбит/с</t>
  </si>
  <si>
    <t xml:space="preserve">        TP-Link</t>
  </si>
  <si>
    <t>Амфенол</t>
  </si>
  <si>
    <t>Разъём Амфенол (аналог.)  3 м</t>
  </si>
  <si>
    <t>Разъём Амфенол (гибрид.)  3 м</t>
  </si>
  <si>
    <t>Разъём Амфенол (аналог.)  на 24 порта</t>
  </si>
  <si>
    <t>GT-PP 50 ports</t>
  </si>
  <si>
    <t>патч-корд кат.5e UTP длина 0,5 м</t>
  </si>
  <si>
    <t>патч-корд кат.5e UTP длина 1м</t>
  </si>
  <si>
    <t>патч-корд кат.5e UTP длина 2м</t>
  </si>
  <si>
    <t>патч-корд кат.5e UTP длина 3м</t>
  </si>
  <si>
    <t>патч-корд кат.5e UTP длина 5м</t>
  </si>
  <si>
    <t>патч-корд телефонный 1м.</t>
  </si>
  <si>
    <t>патч-корд телефонный 2м.</t>
  </si>
  <si>
    <t>патч-корд телефонный 3м.</t>
  </si>
  <si>
    <t>Коннекторы RG 11</t>
  </si>
  <si>
    <t>Коннекторы RG 45</t>
  </si>
  <si>
    <t>Патч-панель на 50 портов GT-PP 50 ports телефонная</t>
  </si>
  <si>
    <t>Патч-панель на 24 порта cat 5e, 1U*19` компьютерная</t>
  </si>
  <si>
    <t>Патч-панель на 48 порта cat 5e, 2U*19` компьютерная</t>
  </si>
  <si>
    <t>CBL-E2U0.5M</t>
  </si>
  <si>
    <t>CBL-E2U1M</t>
  </si>
  <si>
    <t>CBL-E2U2M</t>
  </si>
  <si>
    <t>CBL-E2U3M</t>
  </si>
  <si>
    <t>CBL-E2U5M</t>
  </si>
  <si>
    <t>RJ-11-1</t>
  </si>
  <si>
    <t>RJ-11-2</t>
  </si>
  <si>
    <t>RJ-11-3</t>
  </si>
  <si>
    <t>RJ11</t>
  </si>
  <si>
    <t>RJ45</t>
  </si>
  <si>
    <t>SA.1701.0001</t>
  </si>
  <si>
    <t>RJ11-1</t>
  </si>
  <si>
    <t>Розетка телефонная RJ11 1-портовая</t>
  </si>
  <si>
    <t>RJ11-2</t>
  </si>
  <si>
    <t>Розетка телефонная RJ11 2-портовая</t>
  </si>
  <si>
    <t>EBX-U1WHA6</t>
  </si>
  <si>
    <t>Розетка  информационная RJ45 кат 5e  UTP 1 портовая</t>
  </si>
  <si>
    <t>EBX-U28D4-AR6</t>
  </si>
  <si>
    <t>Розетка  информационная RJ45 кат 5e  UTP 2  портовая</t>
  </si>
  <si>
    <t>Работы по настройке АТС, телефонов, шлюза, прокладки кабеля за 1 час</t>
  </si>
  <si>
    <t>19C-U5-03WT-B305</t>
  </si>
  <si>
    <t>Eurolan Кабель кат.5е UTP, 4 пары, PVC, коробка 305 м (за 1 м.)</t>
  </si>
  <si>
    <t>Кабельный канал 15*10 (2,9m)</t>
  </si>
  <si>
    <t>Кабельный канал 30*15 (2,9m)</t>
  </si>
  <si>
    <t>Кабельный канал 40*16 (2,9m)</t>
  </si>
  <si>
    <t>Кабельный канал 40*25 (2,9m)</t>
  </si>
  <si>
    <t>Кабельный канал 40*60 (2,9m)</t>
  </si>
  <si>
    <t>GFA1510</t>
  </si>
  <si>
    <t>GFA3015</t>
  </si>
  <si>
    <t>GFA4016</t>
  </si>
  <si>
    <t>GFA4025</t>
  </si>
  <si>
    <t>GFA4040</t>
  </si>
  <si>
    <t>Кросс бокс на 100 пар  с плинтами</t>
  </si>
  <si>
    <t xml:space="preserve">Кросс-бокс на  30 пар без плинтов </t>
  </si>
  <si>
    <t>Кросс-бокс на  10 пар  с плинтом</t>
  </si>
  <si>
    <t xml:space="preserve">Кросс-бокс на  100 пар без плинтов </t>
  </si>
  <si>
    <t>Плинт на 10 пар с размыкаемыми контактами</t>
  </si>
  <si>
    <t>KroneK</t>
  </si>
  <si>
    <t>EBX-O30K</t>
  </si>
  <si>
    <t>EBX-O100K</t>
  </si>
  <si>
    <t>TDM-10A-51</t>
  </si>
  <si>
    <t>EBX-O31K</t>
  </si>
  <si>
    <t>Кабельный канал 70*20 Arc 04 овал (2,9)</t>
  </si>
  <si>
    <t>Кабельный канал 35*10 Arc 02 (2,9)</t>
  </si>
  <si>
    <t>Кабельный канал 28*8 Arc 01 овал (2,9)</t>
  </si>
  <si>
    <t>GFA7020</t>
  </si>
  <si>
    <t>GFA3510</t>
  </si>
  <si>
    <t>GFA288</t>
  </si>
  <si>
    <t xml:space="preserve">19C-U5-07BL-R500 </t>
  </si>
  <si>
    <t>Eurolan Кабель кат.5е UTP, 4 пары, внешней прокладки, -60°C, катушка 500 м (за 1 м.)</t>
  </si>
  <si>
    <t>DLP Кабель-каналы 80x35 и аксессуары</t>
  </si>
  <si>
    <t>Кабель-канал 80х35, белый</t>
  </si>
  <si>
    <t>Гибкая крышка 65мм, для кабель-канала 80х35</t>
  </si>
  <si>
    <t>Перегородка разделительная для кабель-канала 80х35</t>
  </si>
  <si>
    <t>Угол внутренний для кабель-канала 80х35</t>
  </si>
  <si>
    <t>Угол внешний для кабель-канала 80х35</t>
  </si>
  <si>
    <t>Зажим для кабеля</t>
  </si>
  <si>
    <t>Накладка на стык профиля на защелках</t>
  </si>
  <si>
    <t>Накладка на стык профиля самоклеющаяся</t>
  </si>
  <si>
    <t>Заглушка торцевая для кабель-канала 80х35/80х50</t>
  </si>
  <si>
    <t>Плоский отвод с переходом на кабель-канал шириной 80 мм</t>
  </si>
  <si>
    <t>Угловой отвод для кабель-канала 80х35/80х50</t>
  </si>
  <si>
    <t>Угол плоский для кабель-канала 80х35/80х50</t>
  </si>
  <si>
    <t>Накладка на стык крышек</t>
  </si>
  <si>
    <t>Суппорт/Рамка 2 Модуля DLP Крышка 65мм</t>
  </si>
  <si>
    <t>Суппорт/Рамка 4 Модуля DLP Крышка 65мм</t>
  </si>
  <si>
    <t>Суппорт/Рамка 6 Модулей DLP Крышка 65мм</t>
  </si>
  <si>
    <t>Суппорт/Рамка 8 Модулей DLP Крышка 65мм</t>
  </si>
  <si>
    <t>DLP Кабель-каналы 80x50 и аксессуары</t>
  </si>
  <si>
    <t>Кабель-канал 80х50, белый</t>
  </si>
  <si>
    <t>Перегородка распределительная 50 мм</t>
  </si>
  <si>
    <t>Угол внутренний для кабель-канала 80х50</t>
  </si>
  <si>
    <t>Угол внешний для кабель-канала 80х50</t>
  </si>
  <si>
    <t>DLP Кабель-каналы 105x50 и аксессуары</t>
  </si>
  <si>
    <t>Кабель-канал 105х50, белый</t>
  </si>
  <si>
    <t>Угол внутренний для кабель-канала 105х50</t>
  </si>
  <si>
    <t>Угол внешний для кабель-канала 105х50</t>
  </si>
  <si>
    <t>Накладка на стык профиля для кабель-канала 105х50</t>
  </si>
  <si>
    <t>Заглушка торцевая для кабель-канала 105х50</t>
  </si>
  <si>
    <t>Плоский отвод с переходом на кабель-канал шириной 105 мм</t>
  </si>
  <si>
    <t>Угол плоский для кабель-канала 105х50</t>
  </si>
  <si>
    <t>DLP Кабель-каналы 150x50 и аксессуары</t>
  </si>
  <si>
    <t>Кабель-канал 150х50, белый</t>
  </si>
  <si>
    <t>Угол внутренний для кабель-канала 150х50</t>
  </si>
  <si>
    <t>Угол внешний для кабель-канала 150х50</t>
  </si>
  <si>
    <t>Заглушка торцевая для кабель-канала 150х50</t>
  </si>
  <si>
    <t>Угол плоский для кабель-канала 150х50</t>
  </si>
  <si>
    <t>LEGRAND</t>
  </si>
  <si>
    <t>LSC 5е категории UTP</t>
  </si>
  <si>
    <t>Панель коммутационная Legrand 19", 24хRJ45, 568A/В, UTP, категории 5е, 1U</t>
  </si>
  <si>
    <t>Патч-корд Legrand UTP категории 5e, 1 метр</t>
  </si>
  <si>
    <t>Патч-корд Legrand UTP категории 5e, 2 метра</t>
  </si>
  <si>
    <t>Патч-корд Legrand UTP категории 5e, 3 метра</t>
  </si>
  <si>
    <t>Патч-корд Legrand UTP категории 5e, 5 метров</t>
  </si>
  <si>
    <t>19C-U5-23WT-B305</t>
  </si>
  <si>
    <t>27D-U5-12BL</t>
  </si>
  <si>
    <t>Eurolan Коммутационная панель настенная категории 5e , UTP, 12xRJ45, 568А/В, черная</t>
  </si>
  <si>
    <t xml:space="preserve">27B-U5-24BL </t>
  </si>
  <si>
    <t xml:space="preserve">Eurolan Коммутационная панель 1U 19", 24хRJ45, 568A/B, UTP, кат.5е, черная </t>
  </si>
  <si>
    <t xml:space="preserve">27B-U5-48BL </t>
  </si>
  <si>
    <t>Eurolan Коммутационная панель 2U 19", 48хRJ45, 568A/В, UTP, кат.5е, черная</t>
  </si>
  <si>
    <t>27F-00-24-05SL</t>
  </si>
  <si>
    <r>
      <t>Eurolan Коммутационная панель наборная Silver Line 19",</t>
    </r>
    <r>
      <rPr>
        <b/>
        <sz val="10"/>
        <rFont val="Arial"/>
        <family val="2"/>
        <charset val="204"/>
      </rPr>
      <t xml:space="preserve"> 0.5U</t>
    </r>
    <r>
      <rPr>
        <sz val="10"/>
        <rFont val="Arial"/>
        <family val="2"/>
        <charset val="204"/>
      </rPr>
      <t xml:space="preserve"> 24 порта под прямые UTP/FTP Keystone</t>
    </r>
  </si>
  <si>
    <t>21D-U5-0EWT</t>
  </si>
  <si>
    <t>Eurolan коммутационный шнур кат.5e UTP LSZH, 0.5 м</t>
  </si>
  <si>
    <t>21D-U5-01WT</t>
  </si>
  <si>
    <t>Eurolan коммутационный шнур кат.5e UTP LSZH, 1.0 м</t>
  </si>
  <si>
    <t>21D-U5-02WT</t>
  </si>
  <si>
    <t>Eurolan коммутационный шнур кат.5e UTP LSZH, 2.0 м</t>
  </si>
  <si>
    <t>21D-U5-03WT</t>
  </si>
  <si>
    <t>Eurolan коммутационный шнур кат.5e UTP LSZH, 3.0 м</t>
  </si>
  <si>
    <t>21D-U5-05WT</t>
  </si>
  <si>
    <t>Eurolan коммутационный шнур кат.5e UTP LSZH, 5.0 м</t>
  </si>
  <si>
    <t>21D-U5-10WT</t>
  </si>
  <si>
    <t>Eurolan коммутационный шнур кат.5e UTP LSZH, 10.0 м</t>
  </si>
  <si>
    <t>Eurolan</t>
  </si>
  <si>
    <t>Eurolan Кабель кат.5е UTP, 4 пары, LSZH, коробка 305 м  (за 1 м.)</t>
  </si>
  <si>
    <t>Кабель Legrand UTP 4 пары категории 5е, PVC, 305 м в коробке (за 1 м.)</t>
  </si>
  <si>
    <t xml:space="preserve">Информационные розетки </t>
  </si>
  <si>
    <t>16B-U5-03BL</t>
  </si>
  <si>
    <t>Eurolan Розеточный модуль UTP 1xRJ45 Keystone категории 5е</t>
  </si>
  <si>
    <t>16C-F5-03BL</t>
  </si>
  <si>
    <t>Eurolan Розеточный модуль FTP 1xRJ45 Keystone категории 5е</t>
  </si>
  <si>
    <t>16B-U6-03BL</t>
  </si>
  <si>
    <t>Eurolan Розеточный модуль UTP 1xRJ45 Keystone кат.6, черный</t>
  </si>
  <si>
    <t>16B-U6-03WT</t>
  </si>
  <si>
    <t>Eurolan Розеточный модуль UTP 1xRJ45 Keystone кат.6, белый</t>
  </si>
  <si>
    <t>16C-F6-03BL</t>
  </si>
  <si>
    <t>Eurolan Розеточный модуль FTP 1xRJ45 Keystone кат.6, черный</t>
  </si>
  <si>
    <t>16A-U5-03WT</t>
  </si>
  <si>
    <t>Eurolan Розеточный модуль UTP 1xRJ45  категории 5е. угловой</t>
  </si>
  <si>
    <t>16B-45-01WT</t>
  </si>
  <si>
    <t>Eurolan Адаптер 2М для одного информационного модуля Keystone</t>
  </si>
  <si>
    <t>16B-45-02WT</t>
  </si>
  <si>
    <t>Eurolan Адаптер 1М для одного информационного модуля Keystone</t>
  </si>
  <si>
    <t>16A-00-00WT</t>
  </si>
  <si>
    <t>Eurolan Заглушка Mosaic 22.5x45, белая</t>
  </si>
  <si>
    <t>Шкафы</t>
  </si>
  <si>
    <t>Напольные шкафы TOTEN 19" серии A2</t>
  </si>
  <si>
    <t>Server case Toten A26618.8100 Шкаф телекоммуникационный 19" 18U,600*600*988 серый (стекло, блок вентиляторов)</t>
  </si>
  <si>
    <t>Server case Toten A26618.8100 Шкаф телекоммуникационный 19" 18U,600*600*988 серый (стекло, полка, блок розеток и вент., крепеж)</t>
  </si>
  <si>
    <t>Server case Toten A26622.8100 Шкаф телекоммуникационный 19" 22U,600*600*1166 серый (стекло, блок вентиляторов)</t>
  </si>
  <si>
    <t>Server case Toten A26622.8100 Шкаф телекоммуникационный 19" 22U,600*600*1166 серый (стекло, полка, блок розеток и вент., крепеж)</t>
  </si>
  <si>
    <t>Server case Toten A26627.8100 Шкаф телекоммуникационный 19" 27U,600*600*1388 серый (стекло, блок вентиляторов)</t>
  </si>
  <si>
    <t>Server case Toten A26627.8100 Шкаф телекоммуникационный 19" 27U,600*600*1388 серый (стекло, полка, блок розеток и вент., крепеж)</t>
  </si>
  <si>
    <t>Server case Toten A26632.8100 Шкаф телекоммуникационный 19" 32U,600*600*1610 серый (стекло, блок вентиляторов)</t>
  </si>
  <si>
    <t>Server case Toten A26632.8100 Шкаф телекоммуникационный 19" 32U,600*600*1610 серый (стекло, полка, блок розеток и вент., крепеж)</t>
  </si>
  <si>
    <t>Server case Toten A26642.8101 Шкаф телекоммуникационный 19" 42U,600*600*2055 черный (стекло, 3 полки, блок розеток и вент., крепеж)</t>
  </si>
  <si>
    <t>Server case Toten A26642.8101 Шкаф телекоммуникационный 19" 42U,600*600*2055 черный (стекло, блок вентиляторов)</t>
  </si>
  <si>
    <t>Server case Toten A26818.8100 Шкаф телекоммуникационный 19" 18U,600*800*988 серый (стекло, блок вентиляторов)</t>
  </si>
  <si>
    <t>Server case Toten A26818.8100 Шкаф телекоммуникационный 19" 18U,600*800*988 серый (стекло, полка, блок розеток и вент., крепеж)</t>
  </si>
  <si>
    <t>Server case Toten A26822.8100 Шкаф телекоммуникационный 19" 22U,600*800*1166 серый (стекло, блок вентиляторов)</t>
  </si>
  <si>
    <t>Server case Toten A26822.8100 Шкаф телекоммуникационный 19" 22U,600*800*1166 серый (стекло, полка, блок розеток и вент., крепеж)</t>
  </si>
  <si>
    <t>Server case Toten A26827.8100 Шкаф телекоммуникационный 19" 27U,600*800*1388 серый (стекло, блок вентиляторов)</t>
  </si>
  <si>
    <t>Server case Toten A26827.8100 Шкаф телекоммуникационный 19" 27U,600*800*1388 серый (стекло, полка, блок розеток и вент., крепеж)</t>
  </si>
  <si>
    <t>Server case Toten A26832.8100 Шкаф телекоммуникационный 19" 32U,600*800*1610 серый (стекло, блок вентиляторов)</t>
  </si>
  <si>
    <t>Server case Toten A26832.8100 Шкаф телекоммуникационный 19" 32U,600*800*1610 серый (стекло, полка, блок розеток и вент., крепеж)</t>
  </si>
  <si>
    <t>Server case Toten A26842.8100 Шкаф телекоммуникационный 19" 42U,600*800*2055 серый (стекло, 3 полки, блок розеток и вент., крепеж)</t>
  </si>
  <si>
    <t>Server case Toten A26842.8100 Шкаф телекоммуникационный 19" 42U,600*800*2055 серый (стекло, блок вентиляторов)</t>
  </si>
  <si>
    <t>Server case Toten A28842.8100 Шкаф телекоммуникационный 19" 42U,800*800*2055 серый (стекло, 2 верт.орг., блок вентиляторов)</t>
  </si>
  <si>
    <t>Server case Toten A28842.8100 Шкаф телекоммуникационный 19" 42U,800*800*2055 серый (стекло, 3 полки, блок розеток и вент., 2 верт.орг., крепеж)</t>
  </si>
  <si>
    <t>A26618.8100</t>
  </si>
  <si>
    <t>A26622.8100</t>
  </si>
  <si>
    <t>A26627.8100</t>
  </si>
  <si>
    <t>A26632.8100</t>
  </si>
  <si>
    <t>A26642.8101</t>
  </si>
  <si>
    <t>A26818.8100</t>
  </si>
  <si>
    <t>A26822.8100</t>
  </si>
  <si>
    <t>A26827.8100</t>
  </si>
  <si>
    <t>A26832.8100</t>
  </si>
  <si>
    <t>A26842.8100</t>
  </si>
  <si>
    <t>A28842.8100</t>
  </si>
  <si>
    <t>Напольные шкафы TOTEN 19" серии AD</t>
  </si>
  <si>
    <t>Server case Toten AD.6022.9101 Шкаф серверный 19" 22U, 600*1000*1166 черный (перф., полка, блок розеток и вент., крепеж)</t>
  </si>
  <si>
    <t>Server case Toten AD8042.9201 Шкаф серверный 19" 42U, 800*1000*2055 черный (перф., 3 полки, блок розеток и вент., 2 верт.орг., крепеж)</t>
  </si>
  <si>
    <t>Server case Toten AD.6022.9101 Шкаф серверный 19" 22U, 600*1000*1166 черный (перф., блок вентиляторов)</t>
  </si>
  <si>
    <t>Server case Toten AD8042.9201 Шкаф серверный 19" 42U, 800*1000*2055 черный (перф., 2 верт.орг., блок вентиляторов)</t>
  </si>
  <si>
    <t>Напольные шкафы TOTEN 19" серии AS</t>
  </si>
  <si>
    <t>Server case Toten AS6042.8101 Шкаф серверный 19" 42U,600*1000*2055 черный (стекло, 3 полки, блок розеток и вент., крепеж)</t>
  </si>
  <si>
    <t>Server case Toten AS6042.8101 Шкаф серверный 19" 42U,600*1000*2055 черный (стекло, блок вентиляторов)</t>
  </si>
  <si>
    <t>Server case Toten AS6842.8101 Шкаф телекоммуникационный 19" 42U,600*800*2055 черный (стекло, 3 полки, блок розеток и вент., крепеж)</t>
  </si>
  <si>
    <t>Server case Toten AS6842.8101 Шкаф телекоммуникационный 19" 42U,600*800*2055 черный (стекло, блок вентиляторов)</t>
  </si>
  <si>
    <t>Server case Toten AS8042.8101 Шкаф серверный 19" 42U, 800*1000*2055 черный (стекло, 2 верт.орг., блок вентиляторов)</t>
  </si>
  <si>
    <t>Server case Toten AS8042.8101 Шкаф серверный 19" 42U, 800*1000*2055 черный (стекло, 3 полки, блок розеток и вент., 2 верт.орг., крепеж)</t>
  </si>
  <si>
    <t>Настенные шкафы TOTEN 19" серии WM/W2</t>
  </si>
  <si>
    <t>Server case Toten W2.6406.9000 Шкаф телекоммуникационный настенный 19" 6U,600*450*368 серый (2 направляющих, крепеж)</t>
  </si>
  <si>
    <t>Server case Toten W2.6409.9000 Шкаф телекоммуникационный настенный 19" 9U,600*450*501 серый (2 направляющих, крепеж)</t>
  </si>
  <si>
    <t>Server case Toten W2.6412.9000 Шкаф телекоммуникационный настенный 19" 12U,600*450*635 серый (2 направляющих, крепеж)</t>
  </si>
  <si>
    <t>Server case Toten W2.6415.9000 Шкаф телекоммуникационный настенный 19" 15U,600*450*769 серый (4 направляющих, крепеж)</t>
  </si>
  <si>
    <t>Server case Toten W2.6418.9000 Шкаф телекоммуникационный настенный 19" 18U,600*450*901 серый (4 направляющих, крепеж)</t>
  </si>
  <si>
    <t>Server case Toten W2.6606.9000 Шкаф телекоммуникационный настенный 19" 6U,600*600*368 серый (2 направляющих, крепеж)</t>
  </si>
  <si>
    <t>Server case Toten W2.6609.9000 Шкаф телекоммуникационный настенный 19" 9U,600*600*501 серый (2 направляющих, крепеж)</t>
  </si>
  <si>
    <t>Server case Toten W2.6612.9000 Шкаф телекоммуникационный настенный 19" 12U,600*600*635 серый (2 направляющих, крепеж)</t>
  </si>
  <si>
    <t>W2.6406.9000</t>
  </si>
  <si>
    <t>W2.6409.9000</t>
  </si>
  <si>
    <t>W2.6412.9000</t>
  </si>
  <si>
    <t>W2.6415.9000</t>
  </si>
  <si>
    <t>W2.6418.9000</t>
  </si>
  <si>
    <t>W2.6606.9000</t>
  </si>
  <si>
    <t>W2.6609.9000</t>
  </si>
  <si>
    <t>W2.6612.9000</t>
  </si>
  <si>
    <t>AS6042.8101</t>
  </si>
  <si>
    <t>AS6842.8101</t>
  </si>
  <si>
    <t>AS8042.8101</t>
  </si>
  <si>
    <t>AD.6022.9101</t>
  </si>
  <si>
    <t>AD8042.9201</t>
  </si>
  <si>
    <t>Аксессуары для оборудования 19"</t>
  </si>
  <si>
    <t>Блоки вентиляторов</t>
  </si>
  <si>
    <t>Блок вентиляторов переднего крепления Toten SA.2902.0300, 2 вентилятора, 19", 1U, grey.</t>
  </si>
  <si>
    <t>Блок вентиляторов переднего крепления Toten SA.2902.0301, 2 вентилятора, 19", 1U, black</t>
  </si>
  <si>
    <t>Блок вентиляторов переднего крепления Toten SA.2904.0300, 4 вентилятора, 19", 1U, grey.</t>
  </si>
  <si>
    <t>Блок вентиляторов переднего крепления Toten SA.2904.0301, 4 вентилятора, 19", 1U, black.</t>
  </si>
  <si>
    <t>Блок вентиляторов переднего крепления с термостатом Toten SA.3002.0300, 2 вентилятора, 19", 1U, grey</t>
  </si>
  <si>
    <t>Блок вентиляторов переднего крепления с термостатом Toten SA.3002.0301, 2 вентилятора, 19", 1U, black</t>
  </si>
  <si>
    <t>Блок вентиляторов переднего крепления с термостатом Toten SA.3004.0300, 4 вентилятора, 19", 1U, grey.</t>
  </si>
  <si>
    <t>Блок вентиляторов переднего крепления с термостатом Toten SA.3004.0301, 4 вентилятора, 19", 1U, black.</t>
  </si>
  <si>
    <t>Термостат переднего крепления Toten SA.4903.0001, 2 x C14, 220В, black</t>
  </si>
  <si>
    <t>Блоки электрических розеток</t>
  </si>
  <si>
    <t>Блок электрических розеток Toten PD.0604.9000 для шкафов, 6 розеток Schuko, 19", длина кабеля 3 м.</t>
  </si>
  <si>
    <t>Блок электрических розеток Toten PD.0804.0000 для шкафов, 8 розеток Schuko, вертикального крепления, 3 м.</t>
  </si>
  <si>
    <t>Блок электрических розеток Toten 322002615 для шкафов, 8 розеток C14, 19", длина кабеля 3 м.</t>
  </si>
  <si>
    <t>Блок электрических розеток Toten PD.1004.9000 для шкафов, 10 розеток Schuko, вертикального крепления, 3 м.</t>
  </si>
  <si>
    <t>Блок электрических розеток Toten PD.1204.9000 для шкафов, 12 розеток Schuko, вертикального крепления, 3 м.</t>
  </si>
  <si>
    <t>Блок электрических розеток Toten PD.1504.9000 для шкафов, 15 розеток Schuko, вертикального крепления, 3 м.</t>
  </si>
  <si>
    <t>Переходник сетевой универсальный для UPS (C14/All)</t>
  </si>
  <si>
    <t>Выдвижные полки для шкафов 19"</t>
  </si>
  <si>
    <t>Полка выдвижная для оборудования Toten SA.0560.1901, для шкафов глубиной 600, 19" L=380mm, black</t>
  </si>
  <si>
    <t>Полка выдвижная для оборудования Toten SA.0580.1900, для шкафов глубиной 800, 19" L=580mm, grey</t>
  </si>
  <si>
    <t>Полка выдвижная для оборудования Toten SA.0596.1901, для шкафов глубиной 960/1000, 19" L=740mm, black</t>
  </si>
  <si>
    <t>Полка выдвижная для оборудования Toten SA.0560.1900, для шкафов глубиной 600, 19" L=380mm, grey</t>
  </si>
  <si>
    <t>Полка выдвижная для оборудования Toten SA.0580.1901, для шкафов глубиной 800, 19" L=580mm, black</t>
  </si>
  <si>
    <t>Полка выдвижная для оборудования Toten SA.0596.1900, для шкафов глубиной 960/1000, 19" L=740mm, grey</t>
  </si>
  <si>
    <t>Запираемые ящики 19"</t>
  </si>
  <si>
    <t>Запираемый ящик Toten SA.1302.0000 19", 2U, grey.</t>
  </si>
  <si>
    <t>Запираемый ящик Toten SA.1302.0001 19", 2U, black.</t>
  </si>
  <si>
    <t>Крепеж, замки и опоры для шкафов 19"</t>
  </si>
  <si>
    <t>Замок  боковой двери для шкафа серии "A" Toten SA.4501.0400</t>
  </si>
  <si>
    <t>Комплект крепежа Toten SA.5201.0000 для 19" оборудования болт (шестигранник) - гайка М6. (20 шт)</t>
  </si>
  <si>
    <t>Комплект крепежа Toten SA.5201.0000 для 19" оборудования болт (шестигранник) - гайка М6. (50 шт)</t>
  </si>
  <si>
    <t>Комплект ножек Toten SA.6312.0000 для настенных шкафов серии WM/W2 (4 шт.)</t>
  </si>
  <si>
    <t>Комплект поворотных колес Toten 321600032 для настенных шкафов серии WM/W2 (4 шт.)</t>
  </si>
  <si>
    <t>Комплект поворотных колес с тормозом Toten 321600033 для настенных шкафов серии WM/W2 (4 шт.)</t>
  </si>
  <si>
    <t>Лампа освещения для шкафа 19"</t>
  </si>
  <si>
    <t>Лампа освещения для шкафов Toten SA.6200.0000, 16Вт</t>
  </si>
  <si>
    <t>Органайзеры</t>
  </si>
  <si>
    <t>Горизонтальный организатор Toten SA.1701.0000, 19", 1U, с крышкой (пенал), grey.</t>
  </si>
  <si>
    <t>Горизонтальный организатор Toten SA.1701.0001, 19", 1U, с крышкой (пенал), black.</t>
  </si>
  <si>
    <t>Горизонтальный организатор Toten SA.2001.0000, 19", 1U, с пластиковыми кольцами, grey</t>
  </si>
  <si>
    <t>Горизонтальный организатор Toten SA.2001.0001, 19", 1U, с пластиковыми кольцами, black</t>
  </si>
  <si>
    <t>Пластиковое кольцо Toten SA.1902.0000 для прокладки кабеля Grey</t>
  </si>
  <si>
    <t>Пластиковое кольцо Toten SA.1902.0001 для прокладки кабеля Black</t>
  </si>
  <si>
    <t>Стационарные полки для шкафов 19"</t>
  </si>
  <si>
    <t>Полка перфорированная Toten SA.0160.1900, для шкафа глубиной 600, 19", L=350mm, grey.</t>
  </si>
  <si>
    <t>Полка перфорированная Toten SA.0160.1901, для шкафа глубиной 600, 19", L=350mm, black.</t>
  </si>
  <si>
    <t>Полка перфорированная Toten SA.0180.1900, для шкафа глубиной 800, 19", L=550mm, grey</t>
  </si>
  <si>
    <t>Полка перфорированная Toten SA.0180.1901, для шкафа глубиной 800, 19", L=550mm, black</t>
  </si>
  <si>
    <t>Полка перфорированная Toten SA.0196.1900, для шкафа глубиной 960/1000, 19", L=710mm, grey</t>
  </si>
  <si>
    <t>Полка перфорированная Toten SA.0196.1901, для шкафа глубиной 960/1000, 19", L=710mm, black</t>
  </si>
  <si>
    <t>Стационарные полки переднего крепления для шкафов 19"</t>
  </si>
  <si>
    <t>Полка перфорированная переднего крепления Toten SA.2245.1900, 19" для шкафа глубиной 450, L= 300mm, grey</t>
  </si>
  <si>
    <t>Полка перфорированная переднего крепления Toten SA.2245.1901, 19" для шкафа глубиной 450, L= 300mm, black</t>
  </si>
  <si>
    <t>SA.2245.1900</t>
  </si>
  <si>
    <t>SA.2245.1901</t>
  </si>
  <si>
    <t>SA.0160.1900</t>
  </si>
  <si>
    <t>SA.0160.1901</t>
  </si>
  <si>
    <t>SA.0180.1900</t>
  </si>
  <si>
    <t>SA.0180.1901</t>
  </si>
  <si>
    <t>SA.0196.1900</t>
  </si>
  <si>
    <t>SA.0196.1901</t>
  </si>
  <si>
    <t>SA.1701.0000</t>
  </si>
  <si>
    <t>SA.2001.0000</t>
  </si>
  <si>
    <t>SA.2001.0001</t>
  </si>
  <si>
    <t>SA.1902.0000</t>
  </si>
  <si>
    <t>SA.1902.0001</t>
  </si>
  <si>
    <t>SA.6200.0000</t>
  </si>
  <si>
    <t>SA.4501.0400</t>
  </si>
  <si>
    <t>SA.5201.0000</t>
  </si>
  <si>
    <t>SA.6312.0000</t>
  </si>
  <si>
    <t>SA.1302.0000</t>
  </si>
  <si>
    <t>SA.1302.0001</t>
  </si>
  <si>
    <t>SA.0560.1901</t>
  </si>
  <si>
    <t>SA.0580.1900</t>
  </si>
  <si>
    <t>SA.0596.1901</t>
  </si>
  <si>
    <t>SA.0560.1900</t>
  </si>
  <si>
    <t>SA.0580.1901</t>
  </si>
  <si>
    <t>SA.0596.1900</t>
  </si>
  <si>
    <t>PD.0604.9000</t>
  </si>
  <si>
    <t>PD.0804.0000</t>
  </si>
  <si>
    <t>PD.1004.9000</t>
  </si>
  <si>
    <t>PD.1204.9000</t>
  </si>
  <si>
    <t>PD.1504.9000</t>
  </si>
  <si>
    <t>C14/Al</t>
  </si>
  <si>
    <t>SA.2902.0300</t>
  </si>
  <si>
    <t>SA.2902.0301</t>
  </si>
  <si>
    <t>SA.2904.0300</t>
  </si>
  <si>
    <t>SA.2904.0301</t>
  </si>
  <si>
    <t>SA.3002.0300</t>
  </si>
  <si>
    <t>SA.3002.0301</t>
  </si>
  <si>
    <t>SA.3004.0300</t>
  </si>
  <si>
    <t>SA.3004.0301</t>
  </si>
  <si>
    <t>SA.4903.0001</t>
  </si>
  <si>
    <t>мини-АТС</t>
  </si>
  <si>
    <t>IP телефоны</t>
  </si>
  <si>
    <t>Цифровые системые телефоны</t>
  </si>
  <si>
    <t>DECT базовые станции</t>
  </si>
  <si>
    <t>Дополнительное ПО для АТС Yeastar</t>
  </si>
  <si>
    <t>iPECS-eMG80 LG</t>
  </si>
  <si>
    <t>DECT LG</t>
  </si>
  <si>
    <t>Телефоны LDP LG</t>
  </si>
  <si>
    <t>SIP-телефоны LG</t>
  </si>
  <si>
    <t>BE400-RS</t>
  </si>
  <si>
    <t>UPS APC/BE400-RS/Back/400 VА/240 W</t>
  </si>
  <si>
    <t>BE550G-RS</t>
  </si>
  <si>
    <t>UPS APC/BE550G-RS/Back/550 VА/330 W</t>
  </si>
  <si>
    <t>BE700G-RS</t>
  </si>
  <si>
    <t>UPS APC/BE700G-RS/Back/euro socket Schuko/700 VА/405 W</t>
  </si>
  <si>
    <t>BK500EI</t>
  </si>
  <si>
    <t>UPS APC/BK500EI/Back/500 VА/300 W</t>
  </si>
  <si>
    <t>BK650EI</t>
  </si>
  <si>
    <t>UPS APC/BK650EI/Back/650 VА/400 W</t>
  </si>
  <si>
    <t>BR1200GI</t>
  </si>
  <si>
    <t>UPS APC/BR1200GI/Back-UPS Pro/AVR/1 200 VА/720 W</t>
  </si>
  <si>
    <t>BR1200G-RS</t>
  </si>
  <si>
    <t>UPS APC/BR1200G-RS/Back-UPS Pro/AVR/1 200 VА/720 W</t>
  </si>
  <si>
    <t>BR1500GI</t>
  </si>
  <si>
    <t>UPS APC/BR1500GI/Back-UPS Pro/AVR/1 500 VА/865 W</t>
  </si>
  <si>
    <t>BR900GI</t>
  </si>
  <si>
    <t>UPS APC/BR900GI/Back/AVR/900 VА/540 W</t>
  </si>
  <si>
    <t>BR900G-RS</t>
  </si>
  <si>
    <t>UPS APC/BR900G-RS/Back-UPS Pro/AVR/900 VА/540 W</t>
  </si>
  <si>
    <t>BX1100LI</t>
  </si>
  <si>
    <t>UPS APC/BX1100LI/Back/AVR/1 100 VА/550 W</t>
  </si>
  <si>
    <t>BX650LI</t>
  </si>
  <si>
    <t>UPS APC/BX650LI/Back/AVR/650 VА/325 W</t>
  </si>
  <si>
    <t>BX700UI</t>
  </si>
  <si>
    <t>UPS APC/BX700UI/Back/AVR/700 VА/390 W</t>
  </si>
  <si>
    <t>BX800CI</t>
  </si>
  <si>
    <t>UPS APC/BX800CI/Back/800 VА/480 W</t>
  </si>
  <si>
    <t>BX800CI-RS</t>
  </si>
  <si>
    <t>UPS APC/BX800CI-RS/Back/AVR/800 VА/480 W</t>
  </si>
  <si>
    <t>BX950UI</t>
  </si>
  <si>
    <t>UPS APC/BX950UI/Back/AVR/950 VА/480 W</t>
  </si>
  <si>
    <t>SC450RMI1U</t>
  </si>
  <si>
    <t>UPS APC/SC450RMI1U/Smart/450 VА/280 W</t>
  </si>
  <si>
    <t>SC620I</t>
  </si>
  <si>
    <t>UPS APC/SC620I/Smart/620 VА/390 W</t>
  </si>
  <si>
    <t>SMC1000I</t>
  </si>
  <si>
    <t>UPS APC/SMC1000I/Smart/1 000 VА/600 W</t>
  </si>
  <si>
    <t>SMC1000I-2U</t>
  </si>
  <si>
    <t>UPS APC/SMC1000I-2U/Smart/2U/1 000 VА/600 W</t>
  </si>
  <si>
    <t>SMC1500I</t>
  </si>
  <si>
    <t>UPS APC/SMC1500I/Smart/1 500 VА/900 W</t>
  </si>
  <si>
    <t>SMT1000I</t>
  </si>
  <si>
    <t>UPS APC/SMT1000I/Smart/1 000 VА/700 W</t>
  </si>
  <si>
    <t>SMT1000RMI2U</t>
  </si>
  <si>
    <t>UPS APC/SMT1000RMI2U/Smart/1 000 VА/700 W</t>
  </si>
  <si>
    <t>SMT1500RMI2U</t>
  </si>
  <si>
    <t>UPS APC/SMT1500RMI2U/Smart/RM 2U/1 500 VА/1 000 W</t>
  </si>
  <si>
    <t>SMT2200I</t>
  </si>
  <si>
    <t>UPS APC/SMT2200I/Smart/2 200 VА/1 980 W</t>
  </si>
  <si>
    <t>SMT3000I</t>
  </si>
  <si>
    <t>UPS APC/SMT3000I/Smart/LCD/3 000 VА/2 700 W</t>
  </si>
  <si>
    <t>SMT3000RMI2U</t>
  </si>
  <si>
    <t>UPS APC/SMT3000RMI2U/Smart/3 000 VА/2 700 W</t>
  </si>
  <si>
    <t>SMT750I</t>
  </si>
  <si>
    <t>UPS APC/SMT750I/Smart/Line interactiv/750 VА/500 W</t>
  </si>
  <si>
    <t>SMT750RMI2U</t>
  </si>
  <si>
    <t>UPS APC/SMT750RMI2U/Smart/LCD/2U/750 VА/500 W</t>
  </si>
  <si>
    <t>SMX1000I</t>
  </si>
  <si>
    <t>UPS APC/SMX1000I/Smart/1 000 VА/800 W</t>
  </si>
  <si>
    <t>SMX1500RMI2U</t>
  </si>
  <si>
    <t>UPS APC/SMX1500RMI2U/Smart/1 500 VА/1 200 W</t>
  </si>
  <si>
    <t>SMX1500RMI2UNC</t>
  </si>
  <si>
    <t>UPS APC/SMX1500RMI2UNC/Smart// 500 VА/1 200 W</t>
  </si>
  <si>
    <t>SMX2200HV</t>
  </si>
  <si>
    <t>UPS APC/SMX2200HV/Smart/LCD/2 200 VА/1 980 W</t>
  </si>
  <si>
    <t>SMX2200RMHV2U</t>
  </si>
  <si>
    <t>UPS APC/SMX2200RMHV2U/Smart/IEC/2 200 VА/1 980 W</t>
  </si>
  <si>
    <t>SMX3000HV</t>
  </si>
  <si>
    <t>UPS APC/SMX3000HV/Smart/LCD/3 000 VА/2 700 W</t>
  </si>
  <si>
    <t>SMX3000HVNC</t>
  </si>
  <si>
    <t>UPS APC/SMX3000HVNC/Smart XL/3 000 VА/2 700 W/w AP9631</t>
  </si>
  <si>
    <t>SMX3000RMHV2U</t>
  </si>
  <si>
    <t>UPS APC/SMX3000RMHV2U/Smart/3 000 VА/2 700 W</t>
  </si>
  <si>
    <t>SMX3000RMHV2UNC</t>
  </si>
  <si>
    <t>UPS APC/SMX3000RMHV2UNC/Smart/3 000 VА/2 700 W</t>
  </si>
  <si>
    <t>SRT10KXLI</t>
  </si>
  <si>
    <t>UPS APC/SRT10KXLI/Smart/On-Line/10 000 VА/10 000 W</t>
  </si>
  <si>
    <t>SRT2200RMXLI</t>
  </si>
  <si>
    <t>UPS APC/SRT2200RMXLI/On-Line/Smart/2 200 VА/1 980 W</t>
  </si>
  <si>
    <t>SRT2200XLI</t>
  </si>
  <si>
    <t>UPS APC/SRT2200XLI/On-Line/Smart/2 200 VА/1 980 W</t>
  </si>
  <si>
    <t>SRT3000RMXLI</t>
  </si>
  <si>
    <t>UPS APC/SRT3000RMXLI/On-Line/Smart/3 000 VА/2 700 W</t>
  </si>
  <si>
    <t>SRT3000XLI</t>
  </si>
  <si>
    <t>UPS APC/SRT3000XLI/On-Line/Smart/3 000 VА/2 700 W</t>
  </si>
  <si>
    <t>SRT5KXLI</t>
  </si>
  <si>
    <t>UPS APC/SRT5KXLI/On-Line/Smart/5 000 VА/4 500 W</t>
  </si>
  <si>
    <t>SRT6KRMXLI</t>
  </si>
  <si>
    <t>UPS APC/SRT6KRMXLI/On-Line/Smart Rack 4U/6 000 VА/6 000 W</t>
  </si>
  <si>
    <t>SRT6KXLI</t>
  </si>
  <si>
    <t>UPS APC/SRT6KXLI/On-Line/Smart/6 000 VА/6 000 W</t>
  </si>
  <si>
    <t>SURT1000RMXLI</t>
  </si>
  <si>
    <t>UPS APC/SURT1000RMXLI/On-Line/Smart/2U/consists of SURT1000XLI and SURTRK/1 000 VA/700 W</t>
  </si>
  <si>
    <t>SURT1000XLI</t>
  </si>
  <si>
    <t>UPS APC/SURT1000XLI/On-Line/Smart/1 000 VА/700 W</t>
  </si>
  <si>
    <t>SURT2000RMXLI</t>
  </si>
  <si>
    <t>UPS APC/SURT2000RMXLI/On-Line/Smart/2U/consists of SURT2000XLI and SURTRK/2 000 VA/1 400 W</t>
  </si>
  <si>
    <t>SURT2000XLI</t>
  </si>
  <si>
    <t>UPS APC/SURT2000XLI/On-Line/Smart/2 000 VА/1 400 W</t>
  </si>
  <si>
    <t>SURTD3000RMXLI</t>
  </si>
  <si>
    <t>UPS APC/SURTD3000RMXLI/On-Line/Smart/3U/consists of SURTD3000XLI and SURTRK2/3 000 VA/2 100 W</t>
  </si>
  <si>
    <t>SURTD3000XLI</t>
  </si>
  <si>
    <t>UPS APC/SURTD3000XLI/On-Line/Smart/3 000 VА/2 100 W</t>
  </si>
  <si>
    <t>APC</t>
  </si>
  <si>
    <t xml:space="preserve">  Линейно-интерактивные</t>
  </si>
  <si>
    <t>UPS, SVC, V-600-L, Диапазон работы AVR: 165-275В, AVR в режиме Booster: 138-292В, Бат.: 12В/7.5 Ач*1шт., 3 вых.: 2 Shuko CEE7+1 IEC C13 (Bypass), Чёрный</t>
  </si>
  <si>
    <t>UPS, SVC, V-800-L, Диапазон работы AVR: 165-275В, AVR в режиме Booster: 138-292В, Бат.: 12В/9 Ач*1шт., 3 вых.: 2 Shuko CEE7+1 IEC C13 (Bypass), Чёрный</t>
  </si>
  <si>
    <t>UPS, SVC, V-500-F, Диапазон работы AVR: 165-275В, Бат.: 12В/4.5 Ач*1шт., 3 вых.: 2 Shuko CEE7+1 IEC C13 (Bypass), Чёрный</t>
  </si>
  <si>
    <t>UPS, SVC, V-600-F, Диапазон работы AVR: 165-275В, Бат.: 12В/7.5 Ач*1шт., 3 вых.: 2 Shuko CEE7+1 IEC C13 (Bypass), Чёрный</t>
  </si>
  <si>
    <t>UPS, SVC, V-650-F, Диапазон работы AVR: 165-275В, Бат.: 12В/9 Ач*1шт., 3 вых.: 2 Shuko CEE7+1 IEC C13 (Bypass), Чёрный</t>
  </si>
  <si>
    <t>UPS, SVC, V-800-F, Диапазон работы AVR: 165-275В, Бат.: 12В/9 Ач*1шт., 3 вых.: 2 Shuko CEE7+1 IEC C13 (Bypass), Защита тел. линии, Чёрный</t>
  </si>
  <si>
    <t>UPS, SVC, V-1000-F, Smart, USB, Диапазон работы AVR: 165-275В, Бат.: 12В/7 Ач*2шт., 3 вых.: Shuko CEE7, Защита тел. линии, Чёрный</t>
  </si>
  <si>
    <t>UPS, SVC, V-1200-F, Smart, USB, Диапазон работы AVR: 165-275В, Бат.: 12В/7.5 Ач*2шт., 3 вых.: Shuko CEE7, Защита тел. линии, Чёрный</t>
  </si>
  <si>
    <t>UPS, SVC, V-1500-F, Smart, USB, Диапазон работы AVR: 165-275В, Бат.: 12В/9 Ач*2шт., 3 вых: Shuko CEE7, Защита тел. линии, Чёрный</t>
  </si>
  <si>
    <t>UPS, SVC, V-650-F-LCD, Smart, USB, Диапазон работы AVR: 165-275В, Бат.: 12В/9 Ач*1шт., 3 вых.: 2 Shuko CEE7+1 IEC C13 (Bypass), Защита тел. линии, Чёрный</t>
  </si>
  <si>
    <t>UPS, SVC, V-800-F-LCD, Smart, USB, Диапазон работы AVR: 165-275В, Бат.: 12В/9 Ач*1шт., 3 вых.: 2 Shuko CEE7+1 IEC C13 (Bypass), Защита тел. линии, Чёрный</t>
  </si>
  <si>
    <t>UPS, SVC, V-1200-F-LCD, Smart, USB, Диапазон работы AVR: 165-275В, Бат.: 12В/7.5 Ач*2шт., 3 вых.: Shuko CEE7., Защита тел. линии, Чёрный</t>
  </si>
  <si>
    <t>UPS, SVC, V-1500-F-LCD, Smart, USB, Диапазон работы AVR: 165-275В, Бат.: 12В/9 Ач*2шт., 3 вых.: Shuko CEE7, Защита тел. линии, Чёрный</t>
  </si>
  <si>
    <t>UPS, SVC, V-2000-F-LCD, Smart, USB, Диапазон работы AVR: 175-275В, Бат.: 12В/9 Ач*2шт., 4 вых.: Shuko CEE7 , Чёрный</t>
  </si>
  <si>
    <t>UPS, SVC, V-3000-F-LCD, Smart, USB, Диапазон работы AVR: 175-275В, Бат.: 12В/7,5 Ач*4шт., 4 вых: Shuko CEE7, Чёрный</t>
  </si>
  <si>
    <t>UPS, SVC, U-1000, Smart, USB, Диапазон работы AVR: 165-275В, Бат.: 12В/9 Ач., 8 вых.: Shuko CEE7(4 с работой от батареи,4 сетевой фильтр), 2 вых.: IEC C13, Защита тел. линии, USB 5В/2А*2 шт., Чёрно-синий</t>
  </si>
  <si>
    <t>UPS, SVC, W-600, Smart, USB, Диапазон работы AVR: 165-275В, Бат.: 12В/12 Ач*1шт., 2 вых.: Shuko CEE7, Чистая cинусоида, Чёрный</t>
  </si>
  <si>
    <t>UPS, SVC, W-600L, Smart, USB, Диапазон работы AVR: 165-275В, Возможность подключения дополнительных батарей 12В(не поставляется в комплекте), 2 вых.: Shuko CEE7, Чистая синусоида, Чёрный</t>
  </si>
  <si>
    <t>UPS, SVC, W-1000L, Smart, USB, Диапазон работы AVR: 165-275В, Бат.: 12В/12 Ач*1шт., 2 вых.: Shuko CEE7, Защита тел. линии, Чистая синусоида, Возможность подключения дополнительных батарей, Чёрный</t>
  </si>
  <si>
    <t>UPS, SVC, W-1500, Smart, USB, Диапазон работы AVR: 165-275В, 12В/9 Ач*2шт., 3 вых.: Shuko CEE7, Защита тел. линии, Чистая синусоида, Чёрный</t>
  </si>
  <si>
    <t xml:space="preserve">  ИБП постоянного тока</t>
  </si>
  <si>
    <t>UPS, SVC, ECO NET 212, Мощность 12Вт., Напряжение 5В/7,5В/9В/12В (регулятор на корпусе), Батарея 4400mAH, USB-порт 1А, Время переключения режимов 0мс, Белый</t>
  </si>
  <si>
    <t>UPS, SVC, ECO NET 412, Мощность 12Вт., Напряжение 5В/7,5В/9В/12В (регулятор на корпусе), Батарея 8800mAH, USB-порт 1А, Время переключения режимов 0мс, Белый</t>
  </si>
  <si>
    <t xml:space="preserve">  Серверные напольные</t>
  </si>
  <si>
    <t>UPS, SVC, PTL-2K-LCD, 2000VA (1400W), PTL-серия, LCD\Tel.line\USB(Smart), Диапазон работы AVR: 145-275В, Бат.: 12В/7.5Ah*4шт., Вентилятор: 8см*1шт., 2 вых., Чёрный</t>
  </si>
  <si>
    <t>UPS, SVC, PTL-3K-LCD, 3000VA (2100W), PTL-серия, LCD\Tel.line\USB(Smart), Диапазон работы AVR: 145-275В, Бат.: 12В/9Ah*4шт., Вентилятор: 8см*1шт., 2 вых., Чёрный</t>
  </si>
  <si>
    <t>UPS, SVC, PT-1K, 1000VA (800W), PT-серия, On-Line, LED\Tel.line\RS-232, SMART, Диапазон работы AVR: 115-300В, Бат.: 12В/7.5Ah*2шт., Вентилятор: 8см*1шт., 2 вых., Чёрный</t>
  </si>
  <si>
    <t>UPS, SVC, PT-2K, 2000VA (1600W), PT-cерия, On-Line, LCD\Tel.line\RS-232, SMART, Диапазон работы AVR: 115-300В, Бат.: 12В/7.5Aч*6шт., Вентилятор: 8см*2шт., 4 вых., Чёрный</t>
  </si>
  <si>
    <t>UPS, SVC, PT-3K, 3000VA (2400W), PT-серия, On-Line, LCD\Tel.line\RS-232, SMART, Диапазон работы AVR: 115-300В, Бат.: 12В/7.5Ач*6шт., Вентилятор: 8см*2шт., 3 вых Shuko CEE7+клеммная колодка., Чёрный</t>
  </si>
  <si>
    <t>UPS, SVC, PT-6K, 6000VA (4800W), PT-серия, On-Line, LCD\Tel.line\RS-232, SMART, Диапазон работы AVR: 176-264В, Бат.: 12В/7.5Ач*16шт., 6 вых. Shuko CEE7+клеммная колодка, Вентилятор: 12см*1шт., Чёрный</t>
  </si>
  <si>
    <t>UPS, SVC, PT-10K, 10000VA (8000W), PT-серия, On-Line, LCD\Tel.line\RS-232, SMART, Диапазон работы AVR: 176-264В, 6 вых. Shuko CEE7+клеммная колодка, Бат.: 12В/7.5Ач*16шт., Вентилятор: 12см*2шт., Чёрный</t>
  </si>
  <si>
    <t>UPS, SVC, 3C10KL, 10000VA (8000W), Трёхфазный (3 фазы на вход, 1 на выход), PT-серия, On-Line, LCD\Tel.line\RS-232, SMART, Диапазон работы AVR: 304-478В, Батарея: 16 шт. (не поставляется в комплекте), Вентилятор: 10см*2шт., Чёрный</t>
  </si>
  <si>
    <t>UPS, SVC, 3C15KL, 15000VA (12000W), Трёхфазный (3 фазы на вход, 1 на выход), PT-серия, On-Line, LCD\Tel.line\RS-232, SMART, Диапазон работы AVR: 304-478В, Батарея: 16 шт. (не поставляется в комплекте), Вентилятор: 8см*4шт., Чёрный</t>
  </si>
  <si>
    <t>UPS, SVC, 3С20KL, 20000VA (16000W), Трёхфазный (3 фазы на вход, 1 на выход), PT-серия, On-Line, LCD\Tel.line\RS-232, SMART, Диапазон работы AVR: 304-478В, Батарея: 16 шт. (не поставляется в комплекте), Вентилятор: 8cм*4шт., Чёрный</t>
  </si>
  <si>
    <t>UPS, SVC, GT33-10KVA (10кВт), Диапазон работы AVR: 304-478В, Трёхфазный (3 фазы на вход, 3 фазы на выход), Батареи: 40шт.* 7.5Ач или 9Ач (не поставляются в комплекте, устанавливаются внутрь ИБП), On-Line, LCD\RS-232, Коэффициент мощности 1, Чёрный</t>
  </si>
  <si>
    <t>UPS, SVC, GT33-15KVA (15кВт), Диапазон работы AVR: 304-478В, Трёхфазный (3 фазы на вход, 3 фазы на выход), Батареи: 40шт.* 7.5Ач или 9Ач (не поставляются в комплекте, устанавливаются внутрь ИБП), On-Line, LCD\RS-232, Коэффициент мощности 1, Чёрный</t>
  </si>
  <si>
    <t>UPS, SVC, GT33-20KVA (18кВт), Диапазон работы AVR: 304-478В, Трёхфазный (3 фазы на вход, 3 фазы на выход), Батареи: 40шт.* 12Ач (не поставляются в комплекте, устанавливаются внутрь ИБП), On-Line, LCD, Коэффициент мощности 0.9, Чёрный</t>
  </si>
  <si>
    <t>UPS, SVC, GT33-40KVA(36кВт), Диапазон работы AVR: 304-478В, Трёхфазный (3 фазы на вход, 3 фазы на выход), Батареи: 80шт.* 12Ач (не поставляются в комплекте, устанавливаются внутрь ИБП), On-Line, LCD\RS-232, Коэффициент мощности 1, Чёрный</t>
  </si>
  <si>
    <t>UPS, SVC, GP33-20KVA(18000W), Диапазон работы AVR: 304-478В, Трёхфазный (3 фазы на вход, 3 фазы на выход), Батареи: 32 шт (не поставляются в комплекте), On-Line, LCD\RS-232, SMART, Серый</t>
  </si>
  <si>
    <t>UPS, SVC, GP33, 30KVA(27000W), Диапазон работы AVR: 304-478В, Трёхфазный (3 фазы на вход, 3 фазы на выход), Батареи: 32 шт (не поставляются в комплекте), On-Line, LCD\RS-232, SMART, Серый</t>
  </si>
  <si>
    <t>UPS, SVC, GP33-40KVA(36000W), Диапазон работы AVR: 304-478В, Трёхфазный (3 фазы на вход, 3 фазы на выход), Батареи: 32 шт (не поставляются в комплекте), On-Line, LCD\RS-232, SMART, Серый</t>
  </si>
  <si>
    <t>UPS, SVC, GP33-60KVA(54000W), Диапазон работы AVR: 304-478В, Трёхфазный (3 фазы на вход, 3 фазы на выход), Батареи: 32 шт (не поставляются в комплекте), On-Line, LCD\RS-232, SMART, Серый</t>
  </si>
  <si>
    <t>UPS, SVC, GP33-80KVA(72000W), Диапазон работы AVR: 304-478В, Трёхфазный (3 фазы на вход, 3 фазы на выход), Батареи: 32 шт (не поставляются в комплекте), On-Line, LCD\RS-232, SMART, Серый</t>
  </si>
  <si>
    <t xml:space="preserve">  Серверные стоечные 19"</t>
  </si>
  <si>
    <t>UPS, SVC, RTO-1.5K-LCD, 1500VA (900W), RTO-серия, Стоечный 2U, LCD\Tel.line, Smart, Диапазон работы AVR:165-275В, Бат.:12В/9Ah*2шт., Вых: 3 Shuko CEE7, Чёрный</t>
  </si>
  <si>
    <t>UPS, SVC, RTL-1K-LCD, 1000VA (700W), Стоечный 19'' 2U, RTL-серия, USB-SMART, Диапазон работы AVR: 145-275В, Бат.: 12В/7.5Aч*2шт., Вентилятор: 8cм*1шт., 2 вых., Чёрный</t>
  </si>
  <si>
    <t>UPS, SVC, RTL-2K-LCD, 2000VA (1400W), Стоечный 19'' 2U, RTL-серия, USB-SMART, Диапазон работы AVR: 145-275В, Бат.: 12В/7.5Aч*4шт., Вентилятор: 8cм*1шт., 2 вых., Чёрный</t>
  </si>
  <si>
    <t>UPS, SVC, RTL-3K-LCD, 3000VA (2100W), Стоечный 19'' 2U, RTL-серия, USB-SMART, Диапазон работы AVR: 145-275В, Бат.: 12В/9Aч*4шт., Вентилятор: 8cм*1шт., 2 вых., Чёрный</t>
  </si>
  <si>
    <t>UPS, SVC, RTL-5KL-LCD, 5000VA (3000W), Стоечный 19'' 3U, RTL-серия, USB-SMART, Диапазон работы AVR: 145-275В, Внешние бат.: 4 шт.(не поставляются в комплекте), Вентилятор: 8cм*1шт., 2 вых., Чёрный</t>
  </si>
  <si>
    <t>UPS, SVC, RT-1K-LCD, 1000VA (700W), Стоечный 19'' 2U, RT-серия, On-Line, LED\Tel.line\RS-232, USB SMART, Диапазон работы AVR: 115-300В, Бат.: 12В/7.5Aч*3шт., Вентилятор: 8cм*1шт., 2 вых., Чёрный</t>
  </si>
  <si>
    <t>UPS, SVC, RT-2KL-LCD, 2000VA (1400W), Стоечный 19'' 4U, RT-серия, On-Line, LED\Tel.line\RS-232, SMART, Диапазон работы AVR: 115-300В, Бат.: 12В/7.5Aч*8шт., Вентилятор: 8см*2шт., 2 вых., Чёрный</t>
  </si>
  <si>
    <t>UPS, SVC, RT-3KL-LCD, 3000VA (2100W), Стоечный 19'' 4U, RT-серия, On-Line, LED\Tel.line\RS-232, SMART, Диапазон работы AVR: 115-300В, Бат.: 12В/7.5Aч*8шт., Вентилятор:8cм*2шт., 2 вых., Чёрный</t>
  </si>
  <si>
    <t>UPS, SVC, RT-6KL-LCD, 6000VA (4800W), Стоечный 19'' 6U, RT-серия, On-Line, LED\Tel.line\RS-232, SMART, Диапазон работы AVR: 120-275В, Бат.: 12В/7.5Aч*16шт., Вентилятор: 12cм*1шт., Клеммное подключение, Чёрный</t>
  </si>
  <si>
    <t>UPS, SVC, RT-10KL-LCD, 10000VA (8000W), Стоечный 19'' 6U, RT-серия, On-Line, LED\Tel.line\RS-232, SMART, Диапазон работы AVR: 120-275В, Бат.: 12В/7.5Ач*16шт., Вентилятор: 12см*1шт., Клеммное подключение, Чёрный</t>
  </si>
  <si>
    <t xml:space="preserve">  Модульные</t>
  </si>
  <si>
    <t>UPS, SVC, RM020/10X, 20кВа/20кВт., Тип: модульный, Высота 1.1м., Укомплектован 2 модулями 10кВт(PM10X), Холодный старт, Горячая замена модулей, 3 фазы на вход/3 фазы на выход, Коэффициент мощности 1</t>
  </si>
  <si>
    <t>UPS, SVC, RM040/10X, 40кВа/40кВт., Тип: модульный, Высота 1.1м., Укомплектован 4 модулями по 10кВт(PM10X), Холодный старт, Горячая замена модулей, 3 фазы на вход/3 фазы на выход, Коэффициент мощности 1</t>
  </si>
  <si>
    <t>UPS, SVC, RM060/10X, 60кВА/60кВт., Тип: модульный, Высота 1.1м., Подключение до 6 модулей 10кВт(PM10X), Холодный старт, Горячая замена модулей, 3 фазы на вход/3 фазы на выход, Коэффициент мощности 1</t>
  </si>
  <si>
    <t>UPS, SVC, RM090/15X, 90кВа/90кВт., Тип: модульный, Высота 1.1м., Подключение до 6 модулей 15кВт(PM15X), Холодный старт, Горячая замена модулей, 3 фазы на вход/3 фазы на выход, Коэффициент мощности 1</t>
  </si>
  <si>
    <t xml:space="preserve">  Батарейные блоки</t>
  </si>
  <si>
    <t>Батарейный блок, SVC,  для ИБП RT-2KL/3KL-LCD, Стоечный 19" 2U, 12В/7.5Ah*8шт., Чёрный</t>
  </si>
  <si>
    <t>Батарейный блок, SVC,  для ИБП RT-6KL/10KL-LCD, Стоечный 19" 3U, 12В/7.5Ah*16шт., Чёрный</t>
  </si>
  <si>
    <t>Источники бесперебойного питания SVC</t>
  </si>
  <si>
    <t>Сервер Dell R330-V2, 4B Cabled  1 U/1 x Intel  Xeon E3  1220v5 (4C, 8M)  3 GHz/4 Gb  UDIMM  2133 MHz/S130, Software RAID (for Microsoft OS Only) (0,1, 1+ 0,5)/2 x 1000 Gb SATA 3.5"  7200 rpm/DVD-ROM /1 x 350W</t>
  </si>
  <si>
    <t>Сервер HP Enterprise DL180 Gen9  2 U/1 x Intel  Xeon  E5-2609v3  1,9 GHz/8 Gb  DDR4  2133 MHz/H240 Smart HBA (0,1, 1+ 0,5)/1 х 550W</t>
  </si>
  <si>
    <t>Сервер HP Enterprise ML30 Gen9  4 U/1 x Intel  Xeon  E3-1220v5  3 GHz/8 Gb  DDR4  2133 MHz/B140i (0,1, 1+ 0,5, 5+0)/2 x 1000 Gb SATA  7200 rpm/DVD+/-RW /1 x 350W</t>
  </si>
  <si>
    <t>Сервер HP Enterprise ML110 Gen9  4 U/1 x Intel  Xeon  E5-2620v4  2,1 GHz/8 Gb  DDR4  2400 MHz/B140i (0,1, 1+ 0,5)/1 x 1000 Gb SATA 3.5"  7200 rpm/DVD+/-RW /1 x 350W</t>
  </si>
  <si>
    <t>Сервер HP Enterprise DL160 Gen9  1 U/1 x Intel  Xeon  E5-2609v3  1,9 GHz/8 Gb  DDR4  2133 MHz/H240 HBA (0,1, 1+ 0)/DVD+/-RW /1 х 550W</t>
  </si>
  <si>
    <t>210-AFEV_01</t>
  </si>
  <si>
    <t>784107-425</t>
  </si>
  <si>
    <t>831068-425</t>
  </si>
  <si>
    <t>840675-425</t>
  </si>
  <si>
    <t>K8J94A</t>
  </si>
  <si>
    <t>EATON</t>
  </si>
  <si>
    <t>01_EATON 1-фазные</t>
  </si>
  <si>
    <t>Eaton UPS 5P</t>
  </si>
  <si>
    <t>5P650iR</t>
  </si>
  <si>
    <t>EATON Источник беспереборйного питания 5P 650VA - 5P 650i Rack1U, line-interactive, 6min/70%, 1 IEC - C14, 4 IEC - C13, 1 USB + 1 RS232</t>
  </si>
  <si>
    <t>145 755</t>
  </si>
  <si>
    <t>Eaton UPS 5PX</t>
  </si>
  <si>
    <t>5PXEBM48RT</t>
  </si>
  <si>
    <t>EATON Батарея дополнительная EXB для ИБП 5PX EBM 48V RT2U</t>
  </si>
  <si>
    <t>194 340</t>
  </si>
  <si>
    <t>5PXEBM72RT2U</t>
  </si>
  <si>
    <t>EATON Батарея дополнительная EXB для ИБП 5PX EBM 72V RT2U</t>
  </si>
  <si>
    <t>304 150</t>
  </si>
  <si>
    <t>5PXEBM72RT3U</t>
  </si>
  <si>
    <t>EATON Батарея дополнительная EXB для ИБП 5PX EBM 72V RT3U</t>
  </si>
  <si>
    <t>302 965</t>
  </si>
  <si>
    <t>5PX1500iRT</t>
  </si>
  <si>
    <t>EATON Источник бесперебойного питания 5PX 1500i RT2U, line-interactive, 11min/70%, 1 IEC - C14, 8 IEC - C13, 1 USB+ 1 RS232</t>
  </si>
  <si>
    <t>327 850</t>
  </si>
  <si>
    <t>5PX2200iRT</t>
  </si>
  <si>
    <t>EATON Источник бесперебойного питания 5PX 2200i RT2U, line-interactive, 8min/70%, 8 IEC - C13, 1 IEC - C19, 1 USB + 1 RS232</t>
  </si>
  <si>
    <t>473 210</t>
  </si>
  <si>
    <t>5PX3000iRT3U</t>
  </si>
  <si>
    <t>EATON Источник бесперебойного питания 5PX 3000i RT3U (8 IEC C13+1 IEC C19, 1 USB+1 RS232, 70%-9 мин, line-interactive, комплект для монтажа в стойку) Rack 3U</t>
  </si>
  <si>
    <t>596 845</t>
  </si>
  <si>
    <t>Eaton UPS 9PX_x001C_/9SX</t>
  </si>
  <si>
    <t>9PXEBM180</t>
  </si>
  <si>
    <t>EATON Батарея дополнительная EXB для ИБП 9PX 5-6kVA EBM 180V</t>
  </si>
  <si>
    <t>485 060</t>
  </si>
  <si>
    <t>9PXEBM240</t>
  </si>
  <si>
    <t>EATON Батарея дополнительная EXB для ИБП 9PX 8-11kVA EBM 240V</t>
  </si>
  <si>
    <t>561 690</t>
  </si>
  <si>
    <t>9PX11KiBP</t>
  </si>
  <si>
    <t>EATON Источник бесперебойного питания 9PX 11000i HotSwap (Клеммы+4 IEC C19, 1 USB+1 RS232, байпас, on-line) Rack 6U/Tower</t>
  </si>
  <si>
    <t>2 042 150</t>
  </si>
  <si>
    <t>9PX2200IRT2U</t>
  </si>
  <si>
    <t>EATON Источник бесперебойного питания 9PX 2200i RT2U</t>
  </si>
  <si>
    <t>641 480</t>
  </si>
  <si>
    <t>9PX5KiBP</t>
  </si>
  <si>
    <t>EATON Источник бесперебойного питания 9PX 5000i HotSwap (Клеммы+8 IEC C13+2 IEC C19, 1 USB+1 RS232, байпас, on-line) Rack 3U/Tower</t>
  </si>
  <si>
    <t>1 155 770</t>
  </si>
  <si>
    <t>9PX6KiBP</t>
  </si>
  <si>
    <t>EATON Источник бесперебойного питания 9PX 6000i HotSwap (Клеммы+8 IEC C13+2 IEC C19, 1 USB+1 RS232, байпас, on-line) Rack 3U/Tower</t>
  </si>
  <si>
    <t>1 232 795</t>
  </si>
  <si>
    <t>9PX8KiBP</t>
  </si>
  <si>
    <t>EATON Источник бесперебойного питания 9PX 8000i HotSwap (Клеммы+4 IEC C19, 1 USB+1 RS232, байпас, on-line) Rack 6U/Tower</t>
  </si>
  <si>
    <t>1 711 930</t>
  </si>
  <si>
    <t>9RK</t>
  </si>
  <si>
    <t>EATON Набор для установки в стойку 19" ИБП моделей 9PX/9SX</t>
  </si>
  <si>
    <t>73 470</t>
  </si>
  <si>
    <t>Eaton UPS EX</t>
  </si>
  <si>
    <t>68186</t>
  </si>
  <si>
    <t>EATON Батарея дополнительная для  EX 1000/1500 EXB RT2U</t>
  </si>
  <si>
    <t>203 030</t>
  </si>
  <si>
    <t>68185</t>
  </si>
  <si>
    <t>EATON Батарея дополнительная EXB для  EX 1000/1500 Tower</t>
  </si>
  <si>
    <t>178 935</t>
  </si>
  <si>
    <t>68405</t>
  </si>
  <si>
    <t>EATON Батарея дополнительная EXB для ИБП EX 2200/3000 EXB RT3U</t>
  </si>
  <si>
    <t>359 450</t>
  </si>
  <si>
    <t>68182</t>
  </si>
  <si>
    <t>EATON Источник бесперебойного питания  EX 1000 RT2U (6 IEC C13, 1 USB+1 RS232, 70%-13 мин, on-line, комплект для монтажа в стойку)</t>
  </si>
  <si>
    <t>314 420</t>
  </si>
  <si>
    <t>68181</t>
  </si>
  <si>
    <t>EATON Источник бесперебойного питания  EX 1000 Tower (6 IEC C13, 1 USB+1 RS232, 70%-13 мин, on-line)</t>
  </si>
  <si>
    <t>267 020</t>
  </si>
  <si>
    <t>68184</t>
  </si>
  <si>
    <t>EATON Источник бесперебойного питания  EX 1500 RT2U (6 IEC C13, 1 USB+1 RS232, 70%-10 мин, on-line, комплект для монтажа в стойку)</t>
  </si>
  <si>
    <t>440 820</t>
  </si>
  <si>
    <t>68183</t>
  </si>
  <si>
    <t>EATON Источник бесперебойного питания  EX 1500 Tower (6 IEC C13, 1 USB+1 RS232, 70%-10 мин, on-line)</t>
  </si>
  <si>
    <t>396 975</t>
  </si>
  <si>
    <t>68400</t>
  </si>
  <si>
    <t>EATON Источник бесперебойного питания  EX 2200 RT (8 IEC C13 + 1 IEC C19, 1 USB+1 RS232, 70%-12 мин, on-line)</t>
  </si>
  <si>
    <t>529 695</t>
  </si>
  <si>
    <t>68402</t>
  </si>
  <si>
    <t>EATON Источник бесперебойного питания  EX 3000 RT (8 IEC C13 + 1 IEC C19, 1 USB+1 RS232, 70%-10 мин, on-line)</t>
  </si>
  <si>
    <t>650 960</t>
  </si>
  <si>
    <t>68441</t>
  </si>
  <si>
    <t>EATON Набор для установки в стойку 19" ИБП EX Rack Kit 2U/3U</t>
  </si>
  <si>
    <t>58 065</t>
  </si>
  <si>
    <t>Network-MS</t>
  </si>
  <si>
    <t>EATON Карта сетевого управления и мониторинга Communication card - MS Web/SNMP (for (pro 5P, 5PX, 5130, EX, 9130, 9PX, 9SX, 93PM, 93E)</t>
  </si>
  <si>
    <t>89 270</t>
  </si>
  <si>
    <t xml:space="preserve">        Серверы DELL</t>
  </si>
  <si>
    <t>GXP1615</t>
  </si>
  <si>
    <r>
      <t xml:space="preserve">Grandstream GXP1615, </t>
    </r>
    <r>
      <rPr>
        <b/>
        <sz val="11"/>
        <color theme="1"/>
        <rFont val="Calibri"/>
        <family val="2"/>
        <charset val="204"/>
      </rPr>
      <t>PoE</t>
    </r>
    <r>
      <rPr>
        <sz val="11"/>
        <color theme="1"/>
        <rFont val="Calibri"/>
        <family val="2"/>
        <charset val="204"/>
      </rPr>
      <t xml:space="preserve"> Small-Medium Business HD IP Phone, 2 line keys with dual-color LED, dual switched100M/100M Ethernet ports, (with power supply)</t>
    </r>
  </si>
  <si>
    <t>GXP1760</t>
  </si>
  <si>
    <t>Grandstream GXP1760, Mid Range HD IP Phone, 6  line keys, 3 SIP accounts, 24 Programmable BLF/speed dial keys, HD (with power supply)</t>
  </si>
  <si>
    <t>GXP1780</t>
  </si>
  <si>
    <t>Grandstream GXP1780, Mid Range IP Phone, 8 line keys 4 SIP accounts, 32 Programmable BLF/speed dial keys, HD (with power supply)</t>
  </si>
  <si>
    <t>GXP1782</t>
  </si>
  <si>
    <t>Grandstream GXP1782, Mid Range IP Phone, 8 line keys 4 SIP accounts, 32 Programmable BLF/speed dial keys, 1Gb Dual  Ethernet,  HD (with power supply)</t>
  </si>
  <si>
    <t>GXP2135</t>
  </si>
  <si>
    <t>Grandstream GXP2130, PoE 3-line Enterprise HD IP Phone, 320x240 TFT color LCD, 32 virtual BLF/speed-dial keys, Bluetooth, dual GigE ports with 802.3af PoE, (with power supply)</t>
  </si>
  <si>
    <t>Grandstream DP750, Wireless DECT Base Station, 10 SIP accounts per BS, 5 DECT phones per BS, one 100M/1000M Ethernet port, PoE</t>
  </si>
  <si>
    <t>Видеоконференцсистемы FULL HD</t>
  </si>
  <si>
    <t>GVC3200</t>
  </si>
  <si>
    <t>Grandstream GVC3200 - video conferencing system with MCU supports up to 4-way 1080p Full HD (or 5-way 720p HD, or 9-way VGA), Android 4.4 Integrated dual-band WiFi, integrated Bluetooth 4.0, Gigabit network port, SD interface (for local recording), Remote-controllable wide-angle PTZ camera with 12x optical zoom, Bluetooth-based multi-touch remote control, 3x HDMI output, 1x VGA/HDMI input, Interoperable with 3rd party SIP-based video conferencing solutions (such as Cisco, Polycom, and Huawei) using BFCP and TIP (pending)</t>
  </si>
  <si>
    <t>GVC3202</t>
  </si>
  <si>
    <t>Grandstream GVC3202 - video conferencing system with MCU supports up to 2-way 1080p Full HD (or 3-way 720p HD, or 3-way VGA), Android 4.4 Integrated dual-band WiFi, integrated Bluetooth 4.0, Gigabit network port, SD interface (for local recording), Remote-controllable wide-angle PTZ camera with 12x optical zoom, Bluetooth-based multi-touch remote control, 2x HDMI output, 1x VGA/HDMI input, Interoperable with 3rd party SIP-based video conferencing solutions (such as Cisco, Polycom, and Huawei) using BFCP and TIP (pending)</t>
  </si>
  <si>
    <t>HT802</t>
  </si>
  <si>
    <t>HandyTone 802, 2 FXS port, 1LAN</t>
  </si>
  <si>
    <t>HT812</t>
  </si>
  <si>
    <t>HandyTone 812, 2 FXS port, Gigabit NAT router, 1LAN, 1WAN</t>
  </si>
  <si>
    <t>HT814</t>
  </si>
  <si>
    <t>HandyTone 814, 4 FXS port, Gigabit NAT router, 1LAN, 1WAN</t>
  </si>
  <si>
    <t>UCM6202</t>
  </si>
  <si>
    <t>Grandstream UCM6202, IP PBX appliance, 2 FXO ports, 2 FXS ports</t>
  </si>
  <si>
    <t>UCM6204</t>
  </si>
  <si>
    <t>Grandstream UCM6204, IP PBX appliance, 4 FXO ports, 2 FXS ports, Dual GigE RJ45 Ethernet ports with PoE Plus</t>
  </si>
  <si>
    <t>UCM6208</t>
  </si>
  <si>
    <t>Grandstream UCM6208, IP PBX appliance, 8 FXO ports, 2 FXS ports, Dual GigE RJ45 Ethernet ports LAN WAN,</t>
  </si>
  <si>
    <t xml:space="preserve">                D-Link DES-1210-28/C1A Настраиваемый комм  24 порта 10/100  + 4 порта 1001</t>
  </si>
  <si>
    <t>Аналоговые системные телефоны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</si>
</sst>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₽_-;\-* #,##0\ _₽_-;_-* &quot;-&quot;\ _₽_-;_-@_-"/>
    <numFmt numFmtId="165" formatCode="#,##0\ _₽"/>
    <numFmt numFmtId="166" formatCode="#,##0\ &quot;₽&quot;"/>
    <numFmt numFmtId="167" formatCode="[$$-409]#,##0"/>
    <numFmt numFmtId="168" formatCode="[$$-409]#,##0.00"/>
    <numFmt numFmtId="169" formatCode="_-[$$-409]* #,##0.00_ ;_-[$$-409]* \-#,##0.00\ ;_-[$$-409]* &quot;-&quot;??_ ;_-@_ "/>
  </numFmts>
  <fonts count="3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9"/>
      <name val="Arial Cyr"/>
      <charset val="204"/>
    </font>
    <font>
      <b/>
      <sz val="10"/>
      <name val="Arial Cyr"/>
      <charset val="204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Cambria"/>
      <family val="1"/>
      <charset val="204"/>
      <scheme val="major"/>
    </font>
    <font>
      <sz val="11"/>
      <color rgb="FF010101"/>
      <name val="Calibri"/>
      <family val="2"/>
      <charset val="204"/>
      <scheme val="minor"/>
    </font>
    <font>
      <b/>
      <i/>
      <sz val="11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name val="Arial"/>
      <family val="2"/>
    </font>
    <font>
      <b/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u/>
      <sz val="6.6"/>
      <color theme="10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Helv"/>
      <charset val="204"/>
    </font>
    <font>
      <b/>
      <sz val="10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4"/>
      <color indexed="9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b/>
      <i/>
      <sz val="11"/>
      <color indexed="9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i/>
      <sz val="9"/>
      <color indexed="8"/>
      <name val="Arial"/>
      <family val="2"/>
      <charset val="204"/>
    </font>
    <font>
      <i/>
      <sz val="8"/>
      <color indexed="8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CCFF"/>
        <bgColor indexed="64"/>
      </patternFill>
    </fill>
    <fill>
      <gradientFill degree="90">
        <stop position="0">
          <color theme="0"/>
        </stop>
        <stop position="1">
          <color theme="0" tint="-0.34900967436750391"/>
        </stop>
      </gradientFill>
    </fill>
    <fill>
      <patternFill patternType="solid">
        <fgColor rgb="FFBFBFB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8"/>
      </top>
      <bottom/>
      <diagonal/>
    </border>
    <border>
      <left style="thin">
        <color indexed="64"/>
      </left>
      <right/>
      <top style="double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14" fillId="0" borderId="0"/>
    <xf numFmtId="0" fontId="1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33" fillId="0" borderId="0" applyNumberFormat="0" applyFill="0" applyBorder="0" applyAlignment="0" applyProtection="0"/>
  </cellStyleXfs>
  <cellXfs count="17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9" fontId="0" fillId="0" borderId="0" xfId="0" applyNumberFormat="1" applyAlignment="1">
      <alignment horizontal="right"/>
    </xf>
    <xf numFmtId="3" fontId="0" fillId="0" borderId="0" xfId="0" applyNumberFormat="1"/>
    <xf numFmtId="0" fontId="5" fillId="4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top" wrapText="1"/>
    </xf>
    <xf numFmtId="0" fontId="10" fillId="6" borderId="5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10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3" fontId="13" fillId="8" borderId="1" xfId="0" applyNumberFormat="1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5" fillId="0" borderId="1" xfId="2" applyFont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7" fillId="0" borderId="1" xfId="3" applyFont="1" applyBorder="1" applyAlignment="1">
      <alignment horizontal="center" vertical="center"/>
    </xf>
    <xf numFmtId="9" fontId="17" fillId="0" borderId="1" xfId="1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/>
    <xf numFmtId="166" fontId="0" fillId="0" borderId="0" xfId="0" applyNumberFormat="1"/>
    <xf numFmtId="167" fontId="0" fillId="0" borderId="1" xfId="0" applyNumberFormat="1" applyBorder="1"/>
    <xf numFmtId="167" fontId="0" fillId="0" borderId="0" xfId="0" applyNumberFormat="1"/>
    <xf numFmtId="165" fontId="2" fillId="4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7" fontId="0" fillId="0" borderId="0" xfId="0" applyNumberFormat="1" applyAlignment="1">
      <alignment horizontal="left"/>
    </xf>
    <xf numFmtId="165" fontId="2" fillId="2" borderId="5" xfId="0" applyNumberFormat="1" applyFont="1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right" vertical="center"/>
    </xf>
    <xf numFmtId="165" fontId="2" fillId="0" borderId="5" xfId="0" applyNumberFormat="1" applyFont="1" applyBorder="1" applyAlignment="1">
      <alignment horizontal="right" vertical="center"/>
    </xf>
    <xf numFmtId="165" fontId="2" fillId="0" borderId="5" xfId="0" applyNumberFormat="1" applyFont="1" applyBorder="1" applyAlignment="1">
      <alignment horizontal="right" vertical="center" wrapText="1"/>
    </xf>
    <xf numFmtId="165" fontId="18" fillId="0" borderId="5" xfId="0" applyNumberFormat="1" applyFont="1" applyBorder="1" applyAlignment="1">
      <alignment horizontal="right" vertical="center"/>
    </xf>
    <xf numFmtId="165" fontId="2" fillId="5" borderId="5" xfId="0" applyNumberFormat="1" applyFont="1" applyFill="1" applyBorder="1" applyAlignment="1">
      <alignment horizontal="right" vertical="center"/>
    </xf>
    <xf numFmtId="165" fontId="2" fillId="3" borderId="5" xfId="0" applyNumberFormat="1" applyFont="1" applyFill="1" applyBorder="1" applyAlignment="1">
      <alignment horizontal="right" vertical="center"/>
    </xf>
    <xf numFmtId="165" fontId="2" fillId="9" borderId="5" xfId="0" applyNumberFormat="1" applyFont="1" applyFill="1" applyBorder="1" applyAlignment="1">
      <alignment horizontal="right" vertical="center"/>
    </xf>
    <xf numFmtId="167" fontId="2" fillId="0" borderId="0" xfId="0" applyNumberFormat="1" applyFont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165" fontId="2" fillId="10" borderId="5" xfId="0" applyNumberFormat="1" applyFont="1" applyFill="1" applyBorder="1" applyAlignment="1">
      <alignment horizontal="right" vertical="center"/>
    </xf>
    <xf numFmtId="165" fontId="2" fillId="10" borderId="1" xfId="0" applyNumberFormat="1" applyFont="1" applyFill="1" applyBorder="1" applyAlignment="1">
      <alignment horizontal="right" vertical="center"/>
    </xf>
    <xf numFmtId="168" fontId="0" fillId="0" borderId="1" xfId="0" applyNumberFormat="1" applyBorder="1"/>
    <xf numFmtId="0" fontId="0" fillId="11" borderId="1" xfId="0" applyFill="1" applyBorder="1" applyAlignment="1">
      <alignment vertical="center" wrapText="1"/>
    </xf>
    <xf numFmtId="165" fontId="2" fillId="11" borderId="1" xfId="0" applyNumberFormat="1" applyFont="1" applyFill="1" applyBorder="1" applyAlignment="1">
      <alignment horizontal="right" vertical="center"/>
    </xf>
    <xf numFmtId="167" fontId="0" fillId="11" borderId="1" xfId="0" applyNumberFormat="1" applyFill="1" applyBorder="1"/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165" fontId="2" fillId="13" borderId="1" xfId="0" applyNumberFormat="1" applyFont="1" applyFill="1" applyBorder="1" applyAlignment="1">
      <alignment horizontal="right" vertical="center"/>
    </xf>
    <xf numFmtId="166" fontId="0" fillId="13" borderId="1" xfId="0" applyNumberFormat="1" applyFill="1" applyBorder="1"/>
    <xf numFmtId="0" fontId="20" fillId="0" borderId="1" xfId="5" applyFont="1" applyBorder="1" applyAlignment="1">
      <alignment horizontal="center" vertical="center"/>
    </xf>
    <xf numFmtId="0" fontId="22" fillId="0" borderId="1" xfId="5" applyFont="1" applyBorder="1" applyAlignment="1">
      <alignment vertical="center"/>
    </xf>
    <xf numFmtId="3" fontId="22" fillId="0" borderId="1" xfId="0" applyNumberFormat="1" applyFont="1" applyBorder="1" applyAlignment="1">
      <alignment vertical="center"/>
    </xf>
    <xf numFmtId="0" fontId="22" fillId="0" borderId="1" xfId="7" applyFont="1" applyBorder="1" applyAlignment="1">
      <alignment horizontal="left" vertical="center"/>
    </xf>
    <xf numFmtId="0" fontId="20" fillId="0" borderId="2" xfId="5" applyFont="1" applyBorder="1" applyAlignment="1">
      <alignment horizontal="center" vertical="center"/>
    </xf>
    <xf numFmtId="0" fontId="22" fillId="0" borderId="2" xfId="7" applyFont="1" applyBorder="1" applyAlignment="1">
      <alignment horizontal="left" vertical="center"/>
    </xf>
    <xf numFmtId="0" fontId="20" fillId="14" borderId="1" xfId="5" applyFont="1" applyFill="1" applyBorder="1" applyAlignment="1">
      <alignment horizontal="center" vertical="center"/>
    </xf>
    <xf numFmtId="0" fontId="25" fillId="14" borderId="1" xfId="5" applyFont="1" applyFill="1" applyBorder="1" applyAlignment="1">
      <alignment horizontal="center" vertical="top"/>
    </xf>
    <xf numFmtId="0" fontId="22" fillId="14" borderId="7" xfId="6" applyFont="1" applyFill="1" applyBorder="1" applyAlignment="1">
      <alignment vertical="center"/>
    </xf>
    <xf numFmtId="0" fontId="22" fillId="0" borderId="1" xfId="5" applyFont="1" applyBorder="1" applyAlignment="1">
      <alignment horizontal="center" vertical="center"/>
    </xf>
    <xf numFmtId="49" fontId="22" fillId="0" borderId="1" xfId="8" applyNumberFormat="1" applyFont="1" applyBorder="1" applyAlignment="1">
      <alignment vertical="center" wrapText="1"/>
    </xf>
    <xf numFmtId="0" fontId="22" fillId="0" borderId="1" xfId="8" applyFont="1" applyBorder="1" applyAlignment="1">
      <alignment vertical="center" wrapText="1"/>
    </xf>
    <xf numFmtId="3" fontId="22" fillId="0" borderId="1" xfId="9" applyNumberFormat="1" applyFont="1" applyBorder="1" applyAlignment="1">
      <alignment horizontal="right" vertical="center" wrapText="1"/>
    </xf>
    <xf numFmtId="0" fontId="22" fillId="0" borderId="1" xfId="9" applyFont="1" applyBorder="1" applyAlignment="1">
      <alignment horizontal="left"/>
    </xf>
    <xf numFmtId="0" fontId="22" fillId="0" borderId="1" xfId="9" applyFont="1" applyBorder="1"/>
    <xf numFmtId="0" fontId="22" fillId="0" borderId="1" xfId="0" applyFont="1" applyBorder="1" applyAlignment="1">
      <alignment vertical="center" wrapText="1"/>
    </xf>
    <xf numFmtId="0" fontId="22" fillId="0" borderId="1" xfId="9" applyFont="1" applyBorder="1" applyAlignment="1">
      <alignment vertical="center" wrapText="1"/>
    </xf>
    <xf numFmtId="0" fontId="20" fillId="5" borderId="1" xfId="5" applyFont="1" applyFill="1" applyBorder="1" applyAlignment="1">
      <alignment horizontal="center" vertical="center"/>
    </xf>
    <xf numFmtId="3" fontId="22" fillId="5" borderId="1" xfId="0" applyNumberFormat="1" applyFont="1" applyFill="1" applyBorder="1" applyAlignment="1">
      <alignment vertical="center"/>
    </xf>
    <xf numFmtId="0" fontId="25" fillId="5" borderId="1" xfId="5" applyFont="1" applyFill="1" applyBorder="1" applyAlignment="1">
      <alignment horizontal="center" vertical="center"/>
    </xf>
    <xf numFmtId="0" fontId="26" fillId="0" borderId="1" xfId="9" applyFont="1" applyBorder="1" applyAlignment="1">
      <alignment vertical="center"/>
    </xf>
    <xf numFmtId="0" fontId="26" fillId="0" borderId="1" xfId="9" applyFont="1" applyBorder="1" applyAlignment="1">
      <alignment vertical="center" wrapText="1"/>
    </xf>
    <xf numFmtId="0" fontId="13" fillId="0" borderId="1" xfId="5" applyFont="1" applyBorder="1" applyAlignment="1">
      <alignment horizontal="center" vertical="center"/>
    </xf>
    <xf numFmtId="0" fontId="13" fillId="0" borderId="7" xfId="6" applyFont="1" applyBorder="1" applyAlignment="1">
      <alignment horizontal="center" vertical="center"/>
    </xf>
    <xf numFmtId="0" fontId="25" fillId="0" borderId="1" xfId="5" applyFont="1" applyBorder="1" applyAlignment="1">
      <alignment horizontal="center" vertical="top"/>
    </xf>
    <xf numFmtId="0" fontId="25" fillId="0" borderId="1" xfId="5" applyFont="1" applyBorder="1" applyAlignment="1">
      <alignment horizontal="center" vertical="center"/>
    </xf>
    <xf numFmtId="0" fontId="25" fillId="0" borderId="7" xfId="6" applyFont="1" applyBorder="1" applyAlignment="1">
      <alignment horizontal="center" vertical="center"/>
    </xf>
    <xf numFmtId="0" fontId="27" fillId="0" borderId="1" xfId="5" applyFont="1" applyBorder="1" applyAlignment="1">
      <alignment horizontal="center" vertical="center"/>
    </xf>
    <xf numFmtId="0" fontId="24" fillId="0" borderId="7" xfId="6" applyFont="1" applyBorder="1" applyAlignment="1">
      <alignment vertical="center"/>
    </xf>
    <xf numFmtId="0" fontId="25" fillId="0" borderId="1" xfId="9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right" vertical="center"/>
    </xf>
    <xf numFmtId="166" fontId="20" fillId="0" borderId="1" xfId="0" applyNumberFormat="1" applyFont="1" applyBorder="1"/>
    <xf numFmtId="0" fontId="20" fillId="0" borderId="0" xfId="0" applyFont="1"/>
    <xf numFmtId="0" fontId="20" fillId="0" borderId="8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1" fontId="0" fillId="0" borderId="4" xfId="0" applyNumberFormat="1" applyBorder="1" applyAlignment="1">
      <alignment horizontal="left" vertical="center" wrapText="1"/>
    </xf>
    <xf numFmtId="167" fontId="20" fillId="0" borderId="1" xfId="0" applyNumberFormat="1" applyFont="1" applyBorder="1"/>
    <xf numFmtId="3" fontId="0" fillId="0" borderId="12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4" xfId="0" applyFont="1" applyBorder="1"/>
    <xf numFmtId="0" fontId="12" fillId="0" borderId="15" xfId="0" applyFont="1" applyBorder="1" applyAlignment="1">
      <alignment horizontal="center"/>
    </xf>
    <xf numFmtId="0" fontId="12" fillId="0" borderId="15" xfId="0" applyFont="1" applyBorder="1"/>
    <xf numFmtId="0" fontId="12" fillId="0" borderId="15" xfId="0" applyFont="1" applyBorder="1" applyAlignment="1">
      <alignment wrapText="1"/>
    </xf>
    <xf numFmtId="165" fontId="12" fillId="0" borderId="16" xfId="0" applyNumberFormat="1" applyFont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0" fontId="24" fillId="15" borderId="18" xfId="0" applyFont="1" applyFill="1" applyBorder="1" applyAlignment="1">
      <alignment vertical="center" wrapText="1"/>
    </xf>
    <xf numFmtId="0" fontId="21" fillId="15" borderId="18" xfId="0" applyFont="1" applyFill="1" applyBorder="1" applyAlignment="1">
      <alignment horizontal="center" vertical="center" wrapText="1"/>
    </xf>
    <xf numFmtId="0" fontId="24" fillId="16" borderId="18" xfId="0" applyFont="1" applyFill="1" applyBorder="1" applyAlignment="1">
      <alignment vertical="center" wrapText="1"/>
    </xf>
    <xf numFmtId="0" fontId="21" fillId="16" borderId="18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vertical="center" wrapText="1"/>
    </xf>
    <xf numFmtId="168" fontId="21" fillId="0" borderId="1" xfId="0" applyNumberFormat="1" applyFont="1" applyBorder="1" applyAlignment="1">
      <alignment horizontal="center" vertical="center" wrapText="1"/>
    </xf>
    <xf numFmtId="168" fontId="21" fillId="16" borderId="1" xfId="0" applyNumberFormat="1" applyFont="1" applyFill="1" applyBorder="1" applyAlignment="1">
      <alignment horizontal="center" vertical="center" wrapText="1"/>
    </xf>
    <xf numFmtId="165" fontId="21" fillId="0" borderId="5" xfId="0" applyNumberFormat="1" applyFont="1" applyBorder="1" applyAlignment="1">
      <alignment horizontal="center" vertical="center" wrapText="1"/>
    </xf>
    <xf numFmtId="0" fontId="27" fillId="17" borderId="20" xfId="0" applyFont="1" applyFill="1" applyBorder="1"/>
    <xf numFmtId="0" fontId="27" fillId="17" borderId="19" xfId="0" applyFont="1" applyFill="1" applyBorder="1"/>
    <xf numFmtId="0" fontId="32" fillId="19" borderId="1" xfId="0" applyFont="1" applyFill="1" applyBorder="1"/>
    <xf numFmtId="0" fontId="0" fillId="0" borderId="1" xfId="0" applyBorder="1" applyAlignment="1">
      <alignment horizontal="center" vertical="center"/>
    </xf>
    <xf numFmtId="0" fontId="31" fillId="19" borderId="1" xfId="0" applyFont="1" applyFill="1" applyBorder="1" applyAlignment="1">
      <alignment vertical="top" wrapText="1"/>
    </xf>
    <xf numFmtId="0" fontId="27" fillId="17" borderId="20" xfId="0" applyFont="1" applyFill="1" applyBorder="1" applyAlignment="1">
      <alignment horizontal="center"/>
    </xf>
    <xf numFmtId="0" fontId="15" fillId="0" borderId="5" xfId="2" applyFont="1" applyBorder="1" applyAlignment="1">
      <alignment horizontal="center" vertical="center"/>
    </xf>
    <xf numFmtId="0" fontId="15" fillId="0" borderId="21" xfId="2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wrapText="1"/>
    </xf>
    <xf numFmtId="0" fontId="2" fillId="0" borderId="1" xfId="1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69" fontId="1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17" fillId="0" borderId="3" xfId="1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6" fillId="0" borderId="23" xfId="0" applyFont="1" applyBorder="1"/>
    <xf numFmtId="0" fontId="2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165" fontId="12" fillId="0" borderId="1" xfId="0" applyNumberFormat="1" applyFont="1" applyBorder="1" applyAlignment="1">
      <alignment horizontal="center"/>
    </xf>
    <xf numFmtId="167" fontId="0" fillId="0" borderId="2" xfId="0" applyNumberFormat="1" applyBorder="1"/>
    <xf numFmtId="0" fontId="29" fillId="18" borderId="1" xfId="0" applyFont="1" applyFill="1" applyBorder="1" applyAlignment="1">
      <alignment horizontal="center" vertical="top" wrapText="1"/>
    </xf>
    <xf numFmtId="0" fontId="30" fillId="19" borderId="1" xfId="0" applyFont="1" applyFill="1" applyBorder="1" applyAlignment="1">
      <alignment horizontal="left" vertical="top" wrapText="1"/>
    </xf>
    <xf numFmtId="0" fontId="31" fillId="19" borderId="1" xfId="0" applyFont="1" applyFill="1" applyBorder="1" applyAlignment="1">
      <alignment vertical="top" wrapText="1"/>
    </xf>
  </cellXfs>
  <cellStyles count="11">
    <cellStyle name="% 2" xfId="2" xr:uid="{00000000-0005-0000-0000-000000000000}"/>
    <cellStyle name="Гиперссылка" xfId="10" builtinId="8"/>
    <cellStyle name="Гиперссылка 3 2" xfId="4" xr:uid="{00000000-0005-0000-0000-000002000000}"/>
    <cellStyle name="Обычный" xfId="0" builtinId="0"/>
    <cellStyle name="Обычный 2" xfId="3" xr:uid="{00000000-0005-0000-0000-000004000000}"/>
    <cellStyle name="Обычный 3" xfId="5" xr:uid="{00000000-0005-0000-0000-000005000000}"/>
    <cellStyle name="Обычный_Лист1_LEGRAND" xfId="6" xr:uid="{00000000-0005-0000-0000-000006000000}"/>
    <cellStyle name="Обычный_Прайс дилер 12.02.08" xfId="9" xr:uid="{00000000-0005-0000-0000-000007000000}"/>
    <cellStyle name="Обычный_Тариф Programme Mosaic " xfId="7" xr:uid="{00000000-0005-0000-0000-000008000000}"/>
    <cellStyle name="Процентный" xfId="1" builtinId="5"/>
    <cellStyle name="Стиль 1" xfId="8" xr:uid="{00000000-0005-0000-0000-00000A000000}"/>
  </cellStyles>
  <dxfs count="0"/>
  <tableStyles count="0" defaultTableStyle="TableStyleMedium9" defaultPivotStyle="PivotStyleLight16"/>
  <colors>
    <mruColors>
      <color rgb="FF00CCFF"/>
      <color rgb="FF33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\&#1054;&#1073;&#1084;&#1077;&#1085;\&#1087;&#1088;&#1072;&#1081;&#1089;%20Maxt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лный прайс"/>
      <sheetName val="Мини-АТС и компл."/>
      <sheetName val="Сет. оборуд-е"/>
      <sheetName val="МФУ, Принтеры, Факсы"/>
      <sheetName val="ИБП (UPS)"/>
      <sheetName val="GSM-шлюзы"/>
      <sheetName val="Шкафы"/>
      <sheetName val="Компьютеры HP"/>
      <sheetName val="прочее"/>
      <sheetName val="Услуги"/>
      <sheetName val="Лист1"/>
    </sheetNames>
    <sheetDataSet>
      <sheetData sheetId="0">
        <row r="1">
          <cell r="E1">
            <v>344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90"/>
  <sheetViews>
    <sheetView tabSelected="1" workbookViewId="0">
      <selection activeCell="J14" sqref="J14"/>
    </sheetView>
  </sheetViews>
  <sheetFormatPr defaultRowHeight="14.4"/>
  <cols>
    <col min="1" max="1" width="17.88671875" style="20" customWidth="1"/>
    <col min="2" max="2" width="68.6640625" style="20" customWidth="1"/>
    <col min="3" max="3" width="17.6640625" style="57" customWidth="1"/>
    <col min="4" max="4" width="16.44140625" style="52" customWidth="1"/>
    <col min="5" max="5" width="10.77734375" style="54" customWidth="1"/>
    <col min="6" max="6" width="9.21875" customWidth="1"/>
    <col min="7" max="7" width="9" customWidth="1"/>
    <col min="11" max="11" width="8.6640625" customWidth="1"/>
  </cols>
  <sheetData>
    <row r="1" spans="1:6">
      <c r="F1">
        <v>5.7</v>
      </c>
    </row>
    <row r="2" spans="1:6">
      <c r="A2" s="13"/>
      <c r="B2" s="23" t="s">
        <v>0</v>
      </c>
      <c r="C2" s="59" t="s">
        <v>208</v>
      </c>
      <c r="D2" s="50" t="s">
        <v>886</v>
      </c>
      <c r="E2" s="67"/>
    </row>
    <row r="3" spans="1:6" ht="15.6">
      <c r="A3" s="5"/>
      <c r="B3" s="1" t="s">
        <v>1</v>
      </c>
      <c r="C3" s="60"/>
      <c r="D3" s="55"/>
    </row>
    <row r="4" spans="1:6">
      <c r="A4" s="7"/>
      <c r="B4" s="24" t="s">
        <v>2</v>
      </c>
      <c r="C4" s="61"/>
      <c r="D4" s="51"/>
    </row>
    <row r="5" spans="1:6">
      <c r="A5" s="14" t="s">
        <v>338</v>
      </c>
      <c r="B5" s="17" t="s">
        <v>337</v>
      </c>
      <c r="C5" s="61">
        <f t="shared" ref="C5:C68" si="0">D5*курс_рубля</f>
        <v>606561.68099999998</v>
      </c>
      <c r="D5" s="51">
        <v>106414.33</v>
      </c>
    </row>
    <row r="6" spans="1:6">
      <c r="A6" s="14" t="s">
        <v>3</v>
      </c>
      <c r="B6" s="25" t="s">
        <v>414</v>
      </c>
      <c r="C6" s="61">
        <f t="shared" si="0"/>
        <v>471219</v>
      </c>
      <c r="D6" s="51">
        <v>82670</v>
      </c>
    </row>
    <row r="7" spans="1:6">
      <c r="A7" s="14" t="s">
        <v>4</v>
      </c>
      <c r="B7" s="25" t="s">
        <v>415</v>
      </c>
      <c r="C7" s="61">
        <f t="shared" si="0"/>
        <v>155097</v>
      </c>
      <c r="D7" s="51">
        <v>27210</v>
      </c>
    </row>
    <row r="8" spans="1:6">
      <c r="A8" s="14" t="s">
        <v>5</v>
      </c>
      <c r="B8" s="25" t="s">
        <v>416</v>
      </c>
      <c r="C8" s="61">
        <f t="shared" si="0"/>
        <v>308028</v>
      </c>
      <c r="D8" s="51">
        <v>54040</v>
      </c>
    </row>
    <row r="9" spans="1:6">
      <c r="A9" s="14" t="s">
        <v>6</v>
      </c>
      <c r="B9" s="25" t="s">
        <v>417</v>
      </c>
      <c r="C9" s="61">
        <f t="shared" si="0"/>
        <v>613890</v>
      </c>
      <c r="D9" s="51">
        <v>107700</v>
      </c>
    </row>
    <row r="10" spans="1:6">
      <c r="A10" s="14" t="s">
        <v>7</v>
      </c>
      <c r="B10" s="25" t="s">
        <v>418</v>
      </c>
      <c r="C10" s="61">
        <f t="shared" si="0"/>
        <v>205333.40849999999</v>
      </c>
      <c r="D10" s="51">
        <v>36023.404999999999</v>
      </c>
    </row>
    <row r="11" spans="1:6">
      <c r="A11" s="15" t="s">
        <v>420</v>
      </c>
      <c r="B11" s="15" t="s">
        <v>419</v>
      </c>
      <c r="C11" s="61">
        <f t="shared" si="0"/>
        <v>349108.78899082571</v>
      </c>
      <c r="D11" s="51">
        <v>61247.15596330275</v>
      </c>
    </row>
    <row r="12" spans="1:6">
      <c r="A12" s="14" t="s">
        <v>8</v>
      </c>
      <c r="B12" s="15" t="s">
        <v>421</v>
      </c>
      <c r="C12" s="61">
        <f t="shared" si="0"/>
        <v>337948.92450000002</v>
      </c>
      <c r="D12" s="51">
        <v>59289.285000000003</v>
      </c>
    </row>
    <row r="13" spans="1:6">
      <c r="A13" s="14" t="s">
        <v>9</v>
      </c>
      <c r="B13" s="15" t="s">
        <v>422</v>
      </c>
      <c r="C13" s="61">
        <f t="shared" si="0"/>
        <v>408332.90924999997</v>
      </c>
      <c r="D13" s="51">
        <v>71637.352499999994</v>
      </c>
    </row>
    <row r="14" spans="1:6">
      <c r="A14" s="14" t="s">
        <v>10</v>
      </c>
      <c r="B14" s="15" t="s">
        <v>423</v>
      </c>
      <c r="C14" s="61">
        <f t="shared" si="0"/>
        <v>713617.28549999988</v>
      </c>
      <c r="D14" s="51">
        <v>125196.01499999998</v>
      </c>
    </row>
    <row r="15" spans="1:6">
      <c r="A15" s="14" t="s">
        <v>11</v>
      </c>
      <c r="B15" s="15" t="s">
        <v>424</v>
      </c>
      <c r="C15" s="61">
        <f t="shared" si="0"/>
        <v>1018922.3100000002</v>
      </c>
      <c r="D15" s="51">
        <v>178758.30000000002</v>
      </c>
    </row>
    <row r="16" spans="1:6" ht="28.8">
      <c r="A16" s="14" t="s">
        <v>149</v>
      </c>
      <c r="B16" s="15" t="s">
        <v>425</v>
      </c>
      <c r="C16" s="61">
        <f t="shared" si="0"/>
        <v>179241.46788990826</v>
      </c>
      <c r="D16" s="51">
        <v>31445.871559633026</v>
      </c>
    </row>
    <row r="17" spans="1:4">
      <c r="A17" s="14" t="s">
        <v>12</v>
      </c>
      <c r="B17" s="15" t="s">
        <v>426</v>
      </c>
      <c r="C17" s="61">
        <f t="shared" si="0"/>
        <v>46569</v>
      </c>
      <c r="D17" s="51">
        <v>8170</v>
      </c>
    </row>
    <row r="18" spans="1:4" ht="28.8">
      <c r="A18" s="14" t="s">
        <v>13</v>
      </c>
      <c r="B18" s="15" t="s">
        <v>427</v>
      </c>
      <c r="C18" s="61">
        <f t="shared" si="0"/>
        <v>104880</v>
      </c>
      <c r="D18" s="51">
        <v>18400</v>
      </c>
    </row>
    <row r="19" spans="1:4" ht="28.8">
      <c r="A19" s="14" t="s">
        <v>14</v>
      </c>
      <c r="B19" s="15" t="s">
        <v>428</v>
      </c>
      <c r="C19" s="61">
        <f t="shared" si="0"/>
        <v>290529</v>
      </c>
      <c r="D19" s="51">
        <v>50970</v>
      </c>
    </row>
    <row r="20" spans="1:4">
      <c r="A20" s="14" t="s">
        <v>15</v>
      </c>
      <c r="B20" s="15" t="s">
        <v>429</v>
      </c>
      <c r="C20" s="61">
        <f t="shared" si="0"/>
        <v>591546</v>
      </c>
      <c r="D20" s="51">
        <v>103780</v>
      </c>
    </row>
    <row r="21" spans="1:4">
      <c r="A21" s="14" t="s">
        <v>16</v>
      </c>
      <c r="B21" s="17" t="s">
        <v>481</v>
      </c>
      <c r="C21" s="61">
        <f t="shared" si="0"/>
        <v>354312</v>
      </c>
      <c r="D21" s="51">
        <v>62160</v>
      </c>
    </row>
    <row r="22" spans="1:4">
      <c r="A22" s="14" t="s">
        <v>17</v>
      </c>
      <c r="B22" s="17" t="s">
        <v>482</v>
      </c>
      <c r="C22" s="61">
        <f t="shared" si="0"/>
        <v>188841</v>
      </c>
      <c r="D22" s="51">
        <v>33130</v>
      </c>
    </row>
    <row r="23" spans="1:4">
      <c r="A23" s="14" t="s">
        <v>18</v>
      </c>
      <c r="B23" s="17"/>
      <c r="C23" s="61">
        <f t="shared" si="0"/>
        <v>356592</v>
      </c>
      <c r="D23" s="51">
        <v>62560</v>
      </c>
    </row>
    <row r="24" spans="1:4">
      <c r="A24" s="14" t="s">
        <v>19</v>
      </c>
      <c r="B24" s="26" t="s">
        <v>477</v>
      </c>
      <c r="C24" s="61">
        <f t="shared" si="0"/>
        <v>46113</v>
      </c>
      <c r="D24" s="51">
        <v>8090</v>
      </c>
    </row>
    <row r="25" spans="1:4">
      <c r="A25" s="14" t="s">
        <v>20</v>
      </c>
      <c r="B25" s="26" t="s">
        <v>439</v>
      </c>
      <c r="C25" s="61">
        <f t="shared" si="0"/>
        <v>208164</v>
      </c>
      <c r="D25" s="51">
        <v>36520</v>
      </c>
    </row>
    <row r="26" spans="1:4">
      <c r="A26" s="14" t="s">
        <v>21</v>
      </c>
      <c r="B26" s="26" t="s">
        <v>478</v>
      </c>
      <c r="C26" s="61">
        <f t="shared" si="0"/>
        <v>360069</v>
      </c>
      <c r="D26" s="51">
        <v>63170</v>
      </c>
    </row>
    <row r="27" spans="1:4">
      <c r="A27" s="14" t="s">
        <v>22</v>
      </c>
      <c r="B27" s="26" t="s">
        <v>479</v>
      </c>
      <c r="C27" s="61">
        <f t="shared" si="0"/>
        <v>1080264</v>
      </c>
      <c r="D27" s="51">
        <v>189520</v>
      </c>
    </row>
    <row r="28" spans="1:4">
      <c r="A28" s="14" t="s">
        <v>23</v>
      </c>
      <c r="B28" s="26" t="s">
        <v>438</v>
      </c>
      <c r="C28" s="61">
        <f t="shared" si="0"/>
        <v>2138127</v>
      </c>
      <c r="D28" s="51">
        <v>375110</v>
      </c>
    </row>
    <row r="29" spans="1:4">
      <c r="A29" s="14" t="s">
        <v>24</v>
      </c>
      <c r="B29" s="17" t="s">
        <v>480</v>
      </c>
      <c r="C29" s="61">
        <f t="shared" si="0"/>
        <v>168777</v>
      </c>
      <c r="D29" s="51">
        <v>29610</v>
      </c>
    </row>
    <row r="30" spans="1:4" ht="28.8">
      <c r="A30" s="14" t="s">
        <v>25</v>
      </c>
      <c r="B30" s="26" t="s">
        <v>437</v>
      </c>
      <c r="C30" s="61">
        <f t="shared" si="0"/>
        <v>337554</v>
      </c>
      <c r="D30" s="51">
        <v>59220</v>
      </c>
    </row>
    <row r="31" spans="1:4" ht="28.8">
      <c r="A31" s="14" t="s">
        <v>26</v>
      </c>
      <c r="B31" s="17" t="s">
        <v>483</v>
      </c>
      <c r="C31" s="61">
        <f t="shared" si="0"/>
        <v>46113</v>
      </c>
      <c r="D31" s="51">
        <v>8090</v>
      </c>
    </row>
    <row r="32" spans="1:4" ht="28.8">
      <c r="A32" s="14" t="s">
        <v>27</v>
      </c>
      <c r="B32" s="17" t="s">
        <v>485</v>
      </c>
      <c r="C32" s="61">
        <f t="shared" si="0"/>
        <v>127680</v>
      </c>
      <c r="D32" s="51">
        <v>22400</v>
      </c>
    </row>
    <row r="33" spans="1:4" ht="28.8">
      <c r="A33" s="14" t="s">
        <v>28</v>
      </c>
      <c r="B33" s="17" t="s">
        <v>486</v>
      </c>
      <c r="C33" s="61">
        <f t="shared" si="0"/>
        <v>159657</v>
      </c>
      <c r="D33" s="51">
        <v>28010</v>
      </c>
    </row>
    <row r="34" spans="1:4" ht="28.8">
      <c r="A34" s="14" t="s">
        <v>29</v>
      </c>
      <c r="B34" s="17" t="s">
        <v>490</v>
      </c>
      <c r="C34" s="61">
        <f t="shared" si="0"/>
        <v>303354</v>
      </c>
      <c r="D34" s="51">
        <v>53220</v>
      </c>
    </row>
    <row r="35" spans="1:4" ht="28.8">
      <c r="A35" s="14" t="s">
        <v>30</v>
      </c>
      <c r="B35" s="17" t="s">
        <v>489</v>
      </c>
      <c r="C35" s="61">
        <f t="shared" si="0"/>
        <v>691923</v>
      </c>
      <c r="D35" s="51">
        <v>121390</v>
      </c>
    </row>
    <row r="36" spans="1:4" ht="28.8">
      <c r="A36" s="14" t="s">
        <v>31</v>
      </c>
      <c r="B36" s="17" t="s">
        <v>487</v>
      </c>
      <c r="C36" s="61">
        <f t="shared" si="0"/>
        <v>8436</v>
      </c>
      <c r="D36" s="51">
        <v>1480</v>
      </c>
    </row>
    <row r="37" spans="1:4">
      <c r="A37" s="14" t="s">
        <v>32</v>
      </c>
      <c r="B37" s="26" t="s">
        <v>436</v>
      </c>
      <c r="C37" s="61">
        <f t="shared" si="0"/>
        <v>38361</v>
      </c>
      <c r="D37" s="51">
        <v>6730</v>
      </c>
    </row>
    <row r="38" spans="1:4">
      <c r="A38" s="14" t="s">
        <v>33</v>
      </c>
      <c r="B38" s="26" t="s">
        <v>488</v>
      </c>
      <c r="C38" s="61">
        <f t="shared" si="0"/>
        <v>69882</v>
      </c>
      <c r="D38" s="51">
        <v>12260</v>
      </c>
    </row>
    <row r="39" spans="1:4" ht="28.8">
      <c r="A39" s="14" t="s">
        <v>34</v>
      </c>
      <c r="B39" s="26" t="s">
        <v>435</v>
      </c>
      <c r="C39" s="61">
        <f t="shared" si="0"/>
        <v>127167</v>
      </c>
      <c r="D39" s="51">
        <v>22310</v>
      </c>
    </row>
    <row r="40" spans="1:4" ht="28.8">
      <c r="A40" s="14" t="s">
        <v>35</v>
      </c>
      <c r="B40" s="26" t="s">
        <v>434</v>
      </c>
      <c r="C40" s="61">
        <f t="shared" si="0"/>
        <v>105393</v>
      </c>
      <c r="D40" s="51">
        <v>18490</v>
      </c>
    </row>
    <row r="41" spans="1:4" ht="28.8">
      <c r="A41" s="14" t="s">
        <v>36</v>
      </c>
      <c r="B41" s="26" t="s">
        <v>433</v>
      </c>
      <c r="C41" s="61">
        <f t="shared" si="0"/>
        <v>479256</v>
      </c>
      <c r="D41" s="51">
        <v>84080</v>
      </c>
    </row>
    <row r="42" spans="1:4" ht="28.8">
      <c r="A42" s="14" t="s">
        <v>37</v>
      </c>
      <c r="B42" s="26" t="s">
        <v>432</v>
      </c>
      <c r="C42" s="61">
        <f t="shared" si="0"/>
        <v>871359</v>
      </c>
      <c r="D42" s="51">
        <v>152870</v>
      </c>
    </row>
    <row r="43" spans="1:4" ht="28.8">
      <c r="A43" s="14" t="s">
        <v>38</v>
      </c>
      <c r="B43" s="26" t="s">
        <v>431</v>
      </c>
      <c r="C43" s="61">
        <f t="shared" si="0"/>
        <v>1584372</v>
      </c>
      <c r="D43" s="51">
        <v>277960</v>
      </c>
    </row>
    <row r="44" spans="1:4">
      <c r="A44" s="14" t="s">
        <v>39</v>
      </c>
      <c r="B44" s="26" t="s">
        <v>430</v>
      </c>
      <c r="C44" s="61">
        <f t="shared" si="0"/>
        <v>140619</v>
      </c>
      <c r="D44" s="51">
        <v>24670</v>
      </c>
    </row>
    <row r="45" spans="1:4" ht="28.8">
      <c r="A45" s="14" t="s">
        <v>40</v>
      </c>
      <c r="B45" s="17" t="s">
        <v>484</v>
      </c>
      <c r="C45" s="61">
        <f t="shared" si="0"/>
        <v>305121</v>
      </c>
      <c r="D45" s="51">
        <v>53530</v>
      </c>
    </row>
    <row r="46" spans="1:4">
      <c r="A46" s="14" t="s">
        <v>41</v>
      </c>
      <c r="B46" s="26" t="s">
        <v>440</v>
      </c>
      <c r="C46" s="61">
        <f t="shared" si="0"/>
        <v>524343</v>
      </c>
      <c r="D46" s="51">
        <v>91990</v>
      </c>
    </row>
    <row r="47" spans="1:4">
      <c r="A47" s="14" t="s">
        <v>42</v>
      </c>
      <c r="B47" s="25" t="s">
        <v>441</v>
      </c>
      <c r="C47" s="61">
        <f t="shared" si="0"/>
        <v>953325</v>
      </c>
      <c r="D47" s="51">
        <v>167250</v>
      </c>
    </row>
    <row r="48" spans="1:4">
      <c r="A48" s="14" t="s">
        <v>43</v>
      </c>
      <c r="B48" s="26" t="s">
        <v>442</v>
      </c>
      <c r="C48" s="61">
        <f t="shared" si="0"/>
        <v>2288094</v>
      </c>
      <c r="D48" s="51">
        <v>401420</v>
      </c>
    </row>
    <row r="49" spans="1:4">
      <c r="A49" s="14" t="s">
        <v>44</v>
      </c>
      <c r="B49" s="26" t="s">
        <v>443</v>
      </c>
      <c r="C49" s="61">
        <f t="shared" si="0"/>
        <v>7118616</v>
      </c>
      <c r="D49" s="51">
        <v>1248880</v>
      </c>
    </row>
    <row r="50" spans="1:4">
      <c r="A50" s="16" t="s">
        <v>45</v>
      </c>
      <c r="B50" s="26" t="s">
        <v>444</v>
      </c>
      <c r="C50" s="61">
        <f t="shared" si="0"/>
        <v>18411</v>
      </c>
      <c r="D50" s="51">
        <v>3230</v>
      </c>
    </row>
    <row r="51" spans="1:4">
      <c r="A51" s="14" t="s">
        <v>46</v>
      </c>
      <c r="B51" s="26" t="s">
        <v>445</v>
      </c>
      <c r="C51" s="61">
        <f t="shared" si="0"/>
        <v>33516</v>
      </c>
      <c r="D51" s="51">
        <v>5880</v>
      </c>
    </row>
    <row r="52" spans="1:4">
      <c r="A52" s="14" t="s">
        <v>47</v>
      </c>
      <c r="B52" s="27" t="s">
        <v>446</v>
      </c>
      <c r="C52" s="61">
        <f t="shared" si="0"/>
        <v>60933</v>
      </c>
      <c r="D52" s="51">
        <v>10690</v>
      </c>
    </row>
    <row r="53" spans="1:4">
      <c r="A53" s="14" t="s">
        <v>48</v>
      </c>
      <c r="B53" s="26" t="s">
        <v>447</v>
      </c>
      <c r="C53" s="61">
        <f t="shared" si="0"/>
        <v>110808</v>
      </c>
      <c r="D53" s="51">
        <v>19440</v>
      </c>
    </row>
    <row r="54" spans="1:4" ht="28.8">
      <c r="A54" s="14" t="s">
        <v>49</v>
      </c>
      <c r="B54" s="26" t="s">
        <v>448</v>
      </c>
      <c r="C54" s="61">
        <f t="shared" si="0"/>
        <v>32604</v>
      </c>
      <c r="D54" s="51">
        <v>5720</v>
      </c>
    </row>
    <row r="55" spans="1:4" ht="28.8">
      <c r="A55" s="14" t="s">
        <v>50</v>
      </c>
      <c r="B55" s="26" t="s">
        <v>449</v>
      </c>
      <c r="C55" s="61">
        <f t="shared" si="0"/>
        <v>148257</v>
      </c>
      <c r="D55" s="51">
        <v>26010</v>
      </c>
    </row>
    <row r="56" spans="1:4">
      <c r="A56" s="14" t="s">
        <v>51</v>
      </c>
      <c r="B56" s="26" t="s">
        <v>450</v>
      </c>
      <c r="C56" s="61">
        <f t="shared" si="0"/>
        <v>269610</v>
      </c>
      <c r="D56" s="51">
        <v>47300</v>
      </c>
    </row>
    <row r="57" spans="1:4" ht="15" customHeight="1">
      <c r="A57" s="14" t="s">
        <v>52</v>
      </c>
      <c r="B57" s="17" t="s">
        <v>491</v>
      </c>
      <c r="C57" s="61">
        <f t="shared" si="0"/>
        <v>490257</v>
      </c>
      <c r="D57" s="51">
        <v>86010</v>
      </c>
    </row>
    <row r="58" spans="1:4" ht="28.8">
      <c r="A58" s="14" t="s">
        <v>53</v>
      </c>
      <c r="B58" s="26" t="s">
        <v>451</v>
      </c>
      <c r="C58" s="61">
        <f t="shared" si="0"/>
        <v>1539</v>
      </c>
      <c r="D58" s="51">
        <v>270</v>
      </c>
    </row>
    <row r="59" spans="1:4" ht="28.8">
      <c r="A59" s="14" t="s">
        <v>54</v>
      </c>
      <c r="B59" s="26" t="s">
        <v>452</v>
      </c>
      <c r="C59" s="61">
        <f t="shared" si="0"/>
        <v>7011</v>
      </c>
      <c r="D59" s="51">
        <v>1230</v>
      </c>
    </row>
    <row r="60" spans="1:4">
      <c r="A60" s="14" t="s">
        <v>55</v>
      </c>
      <c r="B60" s="26" t="s">
        <v>453</v>
      </c>
      <c r="C60" s="61">
        <f t="shared" si="0"/>
        <v>12768</v>
      </c>
      <c r="D60" s="51">
        <v>2240</v>
      </c>
    </row>
    <row r="61" spans="1:4">
      <c r="A61" s="14" t="s">
        <v>56</v>
      </c>
      <c r="B61" s="26" t="s">
        <v>454</v>
      </c>
      <c r="C61" s="61">
        <f t="shared" si="0"/>
        <v>23256</v>
      </c>
      <c r="D61" s="51">
        <v>4080</v>
      </c>
    </row>
    <row r="62" spans="1:4">
      <c r="A62" s="14" t="s">
        <v>57</v>
      </c>
      <c r="B62" s="26" t="s">
        <v>455</v>
      </c>
      <c r="C62" s="61">
        <f t="shared" si="0"/>
        <v>35340</v>
      </c>
      <c r="D62" s="51">
        <v>6200</v>
      </c>
    </row>
    <row r="63" spans="1:4">
      <c r="A63" s="14" t="s">
        <v>58</v>
      </c>
      <c r="B63" s="26" t="s">
        <v>456</v>
      </c>
      <c r="C63" s="61">
        <f t="shared" si="0"/>
        <v>160740</v>
      </c>
      <c r="D63" s="51">
        <v>28200</v>
      </c>
    </row>
    <row r="64" spans="1:4">
      <c r="A64" s="14" t="s">
        <v>59</v>
      </c>
      <c r="B64" s="26" t="s">
        <v>457</v>
      </c>
      <c r="C64" s="61">
        <f t="shared" si="0"/>
        <v>292239</v>
      </c>
      <c r="D64" s="51">
        <v>51270</v>
      </c>
    </row>
    <row r="65" spans="1:4">
      <c r="A65" s="14" t="s">
        <v>60</v>
      </c>
      <c r="B65" s="26" t="s">
        <v>458</v>
      </c>
      <c r="C65" s="61">
        <f t="shared" si="0"/>
        <v>531411</v>
      </c>
      <c r="D65" s="51">
        <v>93230</v>
      </c>
    </row>
    <row r="66" spans="1:4">
      <c r="A66" s="14" t="s">
        <v>61</v>
      </c>
      <c r="B66" s="26" t="s">
        <v>459</v>
      </c>
      <c r="C66" s="61">
        <f t="shared" si="0"/>
        <v>328206</v>
      </c>
      <c r="D66" s="51">
        <v>57580</v>
      </c>
    </row>
    <row r="67" spans="1:4">
      <c r="A67" s="14" t="s">
        <v>62</v>
      </c>
      <c r="B67" s="26" t="s">
        <v>460</v>
      </c>
      <c r="C67" s="61">
        <f t="shared" si="0"/>
        <v>84360</v>
      </c>
      <c r="D67" s="51">
        <v>14800</v>
      </c>
    </row>
    <row r="68" spans="1:4" ht="28.8">
      <c r="A68" s="14" t="s">
        <v>63</v>
      </c>
      <c r="B68" s="17" t="s">
        <v>492</v>
      </c>
      <c r="C68" s="61">
        <f t="shared" si="0"/>
        <v>47424</v>
      </c>
      <c r="D68" s="51">
        <v>8320</v>
      </c>
    </row>
    <row r="69" spans="1:4">
      <c r="A69" s="14" t="s">
        <v>64</v>
      </c>
      <c r="B69" s="17" t="s">
        <v>493</v>
      </c>
      <c r="C69" s="61">
        <f t="shared" ref="C69:C132" si="1">D69*курс_рубля</f>
        <v>200127</v>
      </c>
      <c r="D69" s="51">
        <v>35110</v>
      </c>
    </row>
    <row r="70" spans="1:4">
      <c r="A70" s="14" t="s">
        <v>65</v>
      </c>
      <c r="B70" s="17" t="s">
        <v>494</v>
      </c>
      <c r="C70" s="61">
        <f t="shared" si="1"/>
        <v>14307</v>
      </c>
      <c r="D70" s="51">
        <v>2510</v>
      </c>
    </row>
    <row r="71" spans="1:4">
      <c r="A71" s="14" t="s">
        <v>66</v>
      </c>
      <c r="B71" s="17" t="s">
        <v>495</v>
      </c>
      <c r="C71" s="61">
        <f t="shared" si="1"/>
        <v>65265</v>
      </c>
      <c r="D71" s="51">
        <v>11450</v>
      </c>
    </row>
    <row r="72" spans="1:4">
      <c r="A72" s="14" t="s">
        <v>67</v>
      </c>
      <c r="B72" s="17" t="s">
        <v>496</v>
      </c>
      <c r="C72" s="61">
        <f t="shared" si="1"/>
        <v>118788</v>
      </c>
      <c r="D72" s="51">
        <v>20840</v>
      </c>
    </row>
    <row r="73" spans="1:4">
      <c r="A73" s="14" t="s">
        <v>68</v>
      </c>
      <c r="B73" s="17" t="s">
        <v>497</v>
      </c>
      <c r="C73" s="61">
        <f t="shared" si="1"/>
        <v>216201</v>
      </c>
      <c r="D73" s="51">
        <v>37930</v>
      </c>
    </row>
    <row r="74" spans="1:4">
      <c r="A74" s="14" t="s">
        <v>69</v>
      </c>
      <c r="B74" s="17" t="s">
        <v>498</v>
      </c>
      <c r="C74" s="61">
        <f t="shared" si="1"/>
        <v>68913</v>
      </c>
      <c r="D74" s="51">
        <v>12090</v>
      </c>
    </row>
    <row r="75" spans="1:4">
      <c r="A75" s="14" t="s">
        <v>70</v>
      </c>
      <c r="B75" s="17" t="s">
        <v>499</v>
      </c>
      <c r="C75" s="61">
        <f t="shared" si="1"/>
        <v>311847</v>
      </c>
      <c r="D75" s="51">
        <v>54710</v>
      </c>
    </row>
    <row r="76" spans="1:4">
      <c r="A76" s="14" t="s">
        <v>71</v>
      </c>
      <c r="B76" s="17" t="s">
        <v>500</v>
      </c>
      <c r="C76" s="61">
        <f t="shared" si="1"/>
        <v>548796</v>
      </c>
      <c r="D76" s="51">
        <v>96280</v>
      </c>
    </row>
    <row r="77" spans="1:4">
      <c r="A77" s="14" t="s">
        <v>72</v>
      </c>
      <c r="B77" s="17" t="s">
        <v>501</v>
      </c>
      <c r="C77" s="61">
        <f t="shared" si="1"/>
        <v>1063620</v>
      </c>
      <c r="D77" s="51">
        <v>186600</v>
      </c>
    </row>
    <row r="78" spans="1:4">
      <c r="A78" s="14" t="s">
        <v>73</v>
      </c>
      <c r="B78" s="17" t="s">
        <v>502</v>
      </c>
      <c r="C78" s="61">
        <f t="shared" si="1"/>
        <v>18525</v>
      </c>
      <c r="D78" s="51">
        <v>3250</v>
      </c>
    </row>
    <row r="79" spans="1:4">
      <c r="A79" s="14" t="s">
        <v>74</v>
      </c>
      <c r="B79" s="17" t="s">
        <v>503</v>
      </c>
      <c r="C79" s="61">
        <f t="shared" si="1"/>
        <v>84474</v>
      </c>
      <c r="D79" s="51">
        <v>14820</v>
      </c>
    </row>
    <row r="80" spans="1:4">
      <c r="A80" s="14" t="s">
        <v>75</v>
      </c>
      <c r="B80" s="17" t="s">
        <v>504</v>
      </c>
      <c r="C80" s="61">
        <f t="shared" si="1"/>
        <v>153729</v>
      </c>
      <c r="D80" s="51">
        <v>26970</v>
      </c>
    </row>
    <row r="81" spans="1:4">
      <c r="A81" s="14" t="s">
        <v>76</v>
      </c>
      <c r="B81" s="17" t="s">
        <v>505</v>
      </c>
      <c r="C81" s="61">
        <f t="shared" si="1"/>
        <v>279813</v>
      </c>
      <c r="D81" s="51">
        <v>49090</v>
      </c>
    </row>
    <row r="82" spans="1:4">
      <c r="A82" s="14" t="s">
        <v>77</v>
      </c>
      <c r="B82" s="26" t="s">
        <v>461</v>
      </c>
      <c r="C82" s="61">
        <f t="shared" si="1"/>
        <v>50616</v>
      </c>
      <c r="D82" s="51">
        <v>8880</v>
      </c>
    </row>
    <row r="83" spans="1:4">
      <c r="A83" s="14" t="s">
        <v>78</v>
      </c>
      <c r="B83" s="26" t="s">
        <v>462</v>
      </c>
      <c r="C83" s="61">
        <f t="shared" si="1"/>
        <v>73359</v>
      </c>
      <c r="D83" s="51">
        <v>12870</v>
      </c>
    </row>
    <row r="84" spans="1:4">
      <c r="A84" s="14" t="s">
        <v>79</v>
      </c>
      <c r="B84" s="17" t="s">
        <v>506</v>
      </c>
      <c r="C84" s="61">
        <f t="shared" si="1"/>
        <v>55005</v>
      </c>
      <c r="D84" s="51">
        <v>9650</v>
      </c>
    </row>
    <row r="85" spans="1:4">
      <c r="A85" s="14" t="s">
        <v>80</v>
      </c>
      <c r="B85" s="26" t="s">
        <v>507</v>
      </c>
      <c r="C85" s="61">
        <f t="shared" si="1"/>
        <v>61104</v>
      </c>
      <c r="D85" s="51">
        <v>10720</v>
      </c>
    </row>
    <row r="86" spans="1:4">
      <c r="A86" s="14" t="s">
        <v>81</v>
      </c>
      <c r="B86" s="26" t="s">
        <v>463</v>
      </c>
      <c r="C86" s="61">
        <f t="shared" si="1"/>
        <v>110067</v>
      </c>
      <c r="D86" s="51">
        <v>19310</v>
      </c>
    </row>
    <row r="87" spans="1:4">
      <c r="A87" s="14" t="s">
        <v>82</v>
      </c>
      <c r="B87" s="26" t="s">
        <v>464</v>
      </c>
      <c r="C87" s="61">
        <f t="shared" si="1"/>
        <v>10089</v>
      </c>
      <c r="D87" s="51">
        <v>1770</v>
      </c>
    </row>
    <row r="88" spans="1:4">
      <c r="A88" s="14" t="s">
        <v>83</v>
      </c>
      <c r="B88" s="26" t="s">
        <v>465</v>
      </c>
      <c r="C88" s="61">
        <f t="shared" si="1"/>
        <v>46056</v>
      </c>
      <c r="D88" s="51">
        <v>8080</v>
      </c>
    </row>
    <row r="89" spans="1:4">
      <c r="A89" s="14" t="s">
        <v>84</v>
      </c>
      <c r="B89" s="26" t="s">
        <v>466</v>
      </c>
      <c r="C89" s="61">
        <f t="shared" si="1"/>
        <v>83847</v>
      </c>
      <c r="D89" s="51">
        <v>14710</v>
      </c>
    </row>
    <row r="90" spans="1:4">
      <c r="A90" s="14" t="s">
        <v>85</v>
      </c>
      <c r="B90" s="26" t="s">
        <v>467</v>
      </c>
      <c r="C90" s="61">
        <f t="shared" si="1"/>
        <v>152589</v>
      </c>
      <c r="D90" s="51">
        <v>26770</v>
      </c>
    </row>
    <row r="91" spans="1:4">
      <c r="A91" s="14" t="s">
        <v>86</v>
      </c>
      <c r="B91" s="26" t="s">
        <v>468</v>
      </c>
      <c r="C91" s="61">
        <f t="shared" si="1"/>
        <v>763230</v>
      </c>
      <c r="D91" s="51">
        <v>133900</v>
      </c>
    </row>
    <row r="92" spans="1:4">
      <c r="A92" s="14" t="s">
        <v>87</v>
      </c>
      <c r="B92" s="26" t="s">
        <v>508</v>
      </c>
      <c r="C92" s="61">
        <f t="shared" si="1"/>
        <v>8436</v>
      </c>
      <c r="D92" s="51">
        <v>1480</v>
      </c>
    </row>
    <row r="93" spans="1:4">
      <c r="A93" s="14" t="s">
        <v>88</v>
      </c>
      <c r="B93" s="26" t="s">
        <v>469</v>
      </c>
      <c r="C93" s="61">
        <f t="shared" si="1"/>
        <v>19209</v>
      </c>
      <c r="D93" s="51">
        <v>3370</v>
      </c>
    </row>
    <row r="94" spans="1:4">
      <c r="A94" s="14" t="s">
        <v>89</v>
      </c>
      <c r="B94" s="26" t="s">
        <v>509</v>
      </c>
      <c r="C94" s="61">
        <f t="shared" si="1"/>
        <v>34941</v>
      </c>
      <c r="D94" s="51">
        <v>6130</v>
      </c>
    </row>
    <row r="95" spans="1:4">
      <c r="A95" s="14" t="s">
        <v>90</v>
      </c>
      <c r="B95" s="26" t="s">
        <v>510</v>
      </c>
      <c r="C95" s="61">
        <f t="shared" si="1"/>
        <v>63555</v>
      </c>
      <c r="D95" s="51">
        <v>11150</v>
      </c>
    </row>
    <row r="96" spans="1:4">
      <c r="A96" s="14" t="s">
        <v>91</v>
      </c>
      <c r="B96" s="26" t="s">
        <v>511</v>
      </c>
      <c r="C96" s="61">
        <f t="shared" si="1"/>
        <v>318003</v>
      </c>
      <c r="D96" s="51">
        <v>55790</v>
      </c>
    </row>
    <row r="97" spans="1:4">
      <c r="A97" s="14" t="s">
        <v>92</v>
      </c>
      <c r="B97" s="17" t="s">
        <v>512</v>
      </c>
      <c r="C97" s="61">
        <f t="shared" si="1"/>
        <v>673341</v>
      </c>
      <c r="D97" s="51">
        <v>118130</v>
      </c>
    </row>
    <row r="98" spans="1:4">
      <c r="A98" s="14" t="s">
        <v>93</v>
      </c>
      <c r="B98" s="17" t="s">
        <v>513</v>
      </c>
      <c r="C98" s="61">
        <f t="shared" si="1"/>
        <v>1864584</v>
      </c>
      <c r="D98" s="51">
        <v>327120</v>
      </c>
    </row>
    <row r="99" spans="1:4">
      <c r="A99" s="14" t="s">
        <v>94</v>
      </c>
      <c r="B99" s="26" t="s">
        <v>470</v>
      </c>
      <c r="C99" s="61">
        <f t="shared" si="1"/>
        <v>5904687</v>
      </c>
      <c r="D99" s="51">
        <v>1035910</v>
      </c>
    </row>
    <row r="100" spans="1:4">
      <c r="A100" s="14" t="s">
        <v>344</v>
      </c>
      <c r="B100" s="17" t="s">
        <v>343</v>
      </c>
      <c r="C100" s="61">
        <f t="shared" si="1"/>
        <v>1117770</v>
      </c>
      <c r="D100" s="51">
        <v>196100</v>
      </c>
    </row>
    <row r="101" spans="1:4">
      <c r="A101" s="14" t="s">
        <v>95</v>
      </c>
      <c r="B101" s="15" t="s">
        <v>345</v>
      </c>
      <c r="C101" s="61">
        <f t="shared" si="1"/>
        <v>395238</v>
      </c>
      <c r="D101" s="51">
        <v>69340</v>
      </c>
    </row>
    <row r="102" spans="1:4">
      <c r="A102" s="14" t="s">
        <v>96</v>
      </c>
      <c r="B102" s="21" t="s">
        <v>472</v>
      </c>
      <c r="C102" s="61">
        <f t="shared" si="1"/>
        <v>848787</v>
      </c>
      <c r="D102" s="51">
        <v>148910</v>
      </c>
    </row>
    <row r="103" spans="1:4">
      <c r="A103" s="14" t="s">
        <v>97</v>
      </c>
      <c r="B103" s="17" t="s">
        <v>471</v>
      </c>
      <c r="C103" s="61">
        <f t="shared" si="1"/>
        <v>282606</v>
      </c>
      <c r="D103" s="51">
        <v>49580</v>
      </c>
    </row>
    <row r="104" spans="1:4" ht="28.8">
      <c r="A104" s="14" t="s">
        <v>98</v>
      </c>
      <c r="B104" s="17" t="s">
        <v>473</v>
      </c>
      <c r="C104" s="61">
        <f t="shared" si="1"/>
        <v>195111</v>
      </c>
      <c r="D104" s="51">
        <v>34230</v>
      </c>
    </row>
    <row r="105" spans="1:4">
      <c r="A105" s="14" t="s">
        <v>99</v>
      </c>
      <c r="B105" s="17" t="s">
        <v>514</v>
      </c>
      <c r="C105" s="61">
        <f t="shared" si="1"/>
        <v>478173</v>
      </c>
      <c r="D105" s="51">
        <v>83890</v>
      </c>
    </row>
    <row r="106" spans="1:4">
      <c r="A106" s="14" t="s">
        <v>100</v>
      </c>
      <c r="B106" s="17" t="s">
        <v>474</v>
      </c>
      <c r="C106" s="61">
        <f t="shared" si="1"/>
        <v>240540</v>
      </c>
      <c r="D106" s="51">
        <v>42200</v>
      </c>
    </row>
    <row r="107" spans="1:4" ht="28.8">
      <c r="A107" s="14" t="s">
        <v>101</v>
      </c>
      <c r="B107" s="26" t="s">
        <v>475</v>
      </c>
      <c r="C107" s="61">
        <f t="shared" si="1"/>
        <v>397005</v>
      </c>
      <c r="D107" s="51">
        <v>69650</v>
      </c>
    </row>
    <row r="108" spans="1:4">
      <c r="A108" s="14" t="s">
        <v>102</v>
      </c>
      <c r="B108" s="26" t="s">
        <v>476</v>
      </c>
      <c r="C108" s="61">
        <f t="shared" si="1"/>
        <v>393642</v>
      </c>
      <c r="D108" s="51">
        <v>69060</v>
      </c>
    </row>
    <row r="109" spans="1:4">
      <c r="A109" s="6"/>
      <c r="B109" s="28" t="s">
        <v>103</v>
      </c>
      <c r="C109" s="61">
        <f t="shared" si="1"/>
        <v>0</v>
      </c>
      <c r="D109" s="51"/>
    </row>
    <row r="110" spans="1:4">
      <c r="A110" s="14" t="s">
        <v>340</v>
      </c>
      <c r="B110" s="17" t="s">
        <v>339</v>
      </c>
      <c r="C110" s="61">
        <f t="shared" si="1"/>
        <v>272118</v>
      </c>
      <c r="D110" s="51">
        <v>47740</v>
      </c>
    </row>
    <row r="111" spans="1:4" ht="28.8">
      <c r="A111" s="14" t="s">
        <v>341</v>
      </c>
      <c r="B111" s="15" t="s">
        <v>342</v>
      </c>
      <c r="C111" s="61">
        <f t="shared" si="1"/>
        <v>286026</v>
      </c>
      <c r="D111" s="51">
        <v>50180</v>
      </c>
    </row>
    <row r="112" spans="1:4">
      <c r="A112" s="14" t="s">
        <v>104</v>
      </c>
      <c r="B112" s="26" t="s">
        <v>515</v>
      </c>
      <c r="C112" s="61">
        <f t="shared" si="1"/>
        <v>123519</v>
      </c>
      <c r="D112" s="51">
        <v>21670</v>
      </c>
    </row>
    <row r="113" spans="1:4">
      <c r="A113" s="14" t="s">
        <v>105</v>
      </c>
      <c r="B113" s="26" t="s">
        <v>516</v>
      </c>
      <c r="C113" s="61">
        <f t="shared" si="1"/>
        <v>261573</v>
      </c>
      <c r="D113" s="51">
        <v>45890</v>
      </c>
    </row>
    <row r="114" spans="1:4">
      <c r="A114" s="14" t="s">
        <v>106</v>
      </c>
      <c r="B114" s="26" t="s">
        <v>517</v>
      </c>
      <c r="C114" s="61">
        <f t="shared" si="1"/>
        <v>534603</v>
      </c>
      <c r="D114" s="51">
        <v>93790</v>
      </c>
    </row>
    <row r="115" spans="1:4">
      <c r="A115" s="14" t="s">
        <v>107</v>
      </c>
      <c r="B115" s="26" t="s">
        <v>518</v>
      </c>
      <c r="C115" s="61">
        <f t="shared" si="1"/>
        <v>14364</v>
      </c>
      <c r="D115" s="51">
        <v>2520</v>
      </c>
    </row>
    <row r="116" spans="1:4" ht="28.8">
      <c r="A116" s="14" t="s">
        <v>108</v>
      </c>
      <c r="B116" s="26" t="s">
        <v>519</v>
      </c>
      <c r="C116" s="61">
        <f t="shared" si="1"/>
        <v>58482</v>
      </c>
      <c r="D116" s="51">
        <v>10260</v>
      </c>
    </row>
    <row r="117" spans="1:4">
      <c r="A117" s="14" t="s">
        <v>109</v>
      </c>
      <c r="B117" s="17" t="s">
        <v>526</v>
      </c>
      <c r="C117" s="61">
        <f t="shared" si="1"/>
        <v>386061</v>
      </c>
      <c r="D117" s="51">
        <v>67730</v>
      </c>
    </row>
    <row r="118" spans="1:4">
      <c r="A118" s="14" t="s">
        <v>110</v>
      </c>
      <c r="B118" s="17" t="s">
        <v>528</v>
      </c>
      <c r="C118" s="61">
        <f t="shared" si="1"/>
        <v>674766</v>
      </c>
      <c r="D118" s="51">
        <v>118380</v>
      </c>
    </row>
    <row r="119" spans="1:4">
      <c r="A119" s="14" t="s">
        <v>111</v>
      </c>
      <c r="B119" s="17" t="s">
        <v>527</v>
      </c>
      <c r="C119" s="61">
        <f t="shared" si="1"/>
        <v>50331</v>
      </c>
      <c r="D119" s="51">
        <v>8830</v>
      </c>
    </row>
    <row r="120" spans="1:4">
      <c r="A120" s="14" t="s">
        <v>112</v>
      </c>
      <c r="B120" s="26" t="s">
        <v>520</v>
      </c>
      <c r="C120" s="61">
        <f t="shared" si="1"/>
        <v>56259</v>
      </c>
      <c r="D120" s="51">
        <v>9870</v>
      </c>
    </row>
    <row r="121" spans="1:4">
      <c r="A121" s="14" t="s">
        <v>113</v>
      </c>
      <c r="B121" s="26" t="s">
        <v>521</v>
      </c>
      <c r="C121" s="61">
        <f t="shared" si="1"/>
        <v>37677</v>
      </c>
      <c r="D121" s="51">
        <v>6610</v>
      </c>
    </row>
    <row r="122" spans="1:4">
      <c r="A122" s="14" t="s">
        <v>114</v>
      </c>
      <c r="B122" s="17" t="s">
        <v>529</v>
      </c>
      <c r="C122" s="61">
        <f t="shared" si="1"/>
        <v>107445</v>
      </c>
      <c r="D122" s="51">
        <v>18850</v>
      </c>
    </row>
    <row r="123" spans="1:4">
      <c r="A123" s="14" t="s">
        <v>115</v>
      </c>
      <c r="B123" s="26" t="s">
        <v>522</v>
      </c>
      <c r="C123" s="61">
        <f t="shared" si="1"/>
        <v>58938</v>
      </c>
      <c r="D123" s="51">
        <v>10340</v>
      </c>
    </row>
    <row r="124" spans="1:4">
      <c r="A124" s="14" t="s">
        <v>116</v>
      </c>
      <c r="B124" s="26" t="s">
        <v>523</v>
      </c>
      <c r="C124" s="61">
        <f t="shared" si="1"/>
        <v>88806</v>
      </c>
      <c r="D124" s="51">
        <v>15580</v>
      </c>
    </row>
    <row r="125" spans="1:4">
      <c r="A125" s="14" t="s">
        <v>117</v>
      </c>
      <c r="B125" s="26" t="s">
        <v>524</v>
      </c>
      <c r="C125" s="61">
        <f t="shared" si="1"/>
        <v>63612</v>
      </c>
      <c r="D125" s="51">
        <v>11160</v>
      </c>
    </row>
    <row r="126" spans="1:4">
      <c r="A126" s="14" t="s">
        <v>118</v>
      </c>
      <c r="B126" s="26" t="s">
        <v>525</v>
      </c>
      <c r="C126" s="61">
        <f t="shared" si="1"/>
        <v>288705</v>
      </c>
      <c r="D126" s="51">
        <v>50650</v>
      </c>
    </row>
    <row r="127" spans="1:4">
      <c r="A127" s="14" t="s">
        <v>119</v>
      </c>
      <c r="B127" s="21" t="s">
        <v>530</v>
      </c>
      <c r="C127" s="61">
        <f t="shared" si="1"/>
        <v>353913</v>
      </c>
      <c r="D127" s="51">
        <v>62090</v>
      </c>
    </row>
    <row r="128" spans="1:4">
      <c r="A128" s="14" t="s">
        <v>120</v>
      </c>
      <c r="B128" s="21" t="s">
        <v>531</v>
      </c>
      <c r="C128" s="61">
        <f t="shared" si="1"/>
        <v>209988</v>
      </c>
      <c r="D128" s="51">
        <v>36840</v>
      </c>
    </row>
    <row r="129" spans="1:4">
      <c r="A129" s="14" t="s">
        <v>121</v>
      </c>
      <c r="B129" s="21" t="s">
        <v>532</v>
      </c>
      <c r="C129" s="61">
        <f t="shared" si="1"/>
        <v>402249</v>
      </c>
      <c r="D129" s="51">
        <v>70570</v>
      </c>
    </row>
    <row r="130" spans="1:4" ht="28.8">
      <c r="A130" s="14" t="s">
        <v>122</v>
      </c>
      <c r="B130" s="21" t="s">
        <v>533</v>
      </c>
      <c r="C130" s="61">
        <f t="shared" si="1"/>
        <v>88749</v>
      </c>
      <c r="D130" s="51">
        <v>15570</v>
      </c>
    </row>
    <row r="131" spans="1:4" ht="28.8">
      <c r="A131" s="14" t="s">
        <v>123</v>
      </c>
      <c r="B131" s="17" t="s">
        <v>678</v>
      </c>
      <c r="C131" s="61">
        <f t="shared" si="1"/>
        <v>53580</v>
      </c>
      <c r="D131" s="51">
        <v>9400</v>
      </c>
    </row>
    <row r="132" spans="1:4">
      <c r="A132" s="14" t="s">
        <v>124</v>
      </c>
      <c r="B132" s="26" t="s">
        <v>534</v>
      </c>
      <c r="C132" s="61">
        <f t="shared" si="1"/>
        <v>287736</v>
      </c>
      <c r="D132" s="51">
        <v>50480</v>
      </c>
    </row>
    <row r="133" spans="1:4" ht="28.8">
      <c r="A133" s="14" t="s">
        <v>125</v>
      </c>
      <c r="B133" s="21" t="s">
        <v>535</v>
      </c>
      <c r="C133" s="61">
        <f t="shared" ref="C133:C196" si="2">D133*курс_рубля</f>
        <v>143412</v>
      </c>
      <c r="D133" s="51">
        <v>25160</v>
      </c>
    </row>
    <row r="134" spans="1:4" ht="28.8">
      <c r="A134" s="14" t="s">
        <v>126</v>
      </c>
      <c r="B134" s="21" t="s">
        <v>536</v>
      </c>
      <c r="C134" s="61">
        <f t="shared" si="2"/>
        <v>94677</v>
      </c>
      <c r="D134" s="51">
        <v>16610</v>
      </c>
    </row>
    <row r="135" spans="1:4" ht="28.8">
      <c r="A135" s="14" t="s">
        <v>127</v>
      </c>
      <c r="B135" s="21" t="s">
        <v>537</v>
      </c>
      <c r="C135" s="61">
        <f t="shared" si="2"/>
        <v>141930</v>
      </c>
      <c r="D135" s="51">
        <v>24900</v>
      </c>
    </row>
    <row r="136" spans="1:4">
      <c r="A136" s="14" t="s">
        <v>128</v>
      </c>
      <c r="B136" s="21" t="s">
        <v>538</v>
      </c>
      <c r="C136" s="61">
        <f t="shared" si="2"/>
        <v>101859</v>
      </c>
      <c r="D136" s="51">
        <v>17870</v>
      </c>
    </row>
    <row r="137" spans="1:4" ht="28.8">
      <c r="A137" s="14" t="s">
        <v>129</v>
      </c>
      <c r="B137" s="21" t="s">
        <v>539</v>
      </c>
      <c r="C137" s="61">
        <f t="shared" si="2"/>
        <v>146490</v>
      </c>
      <c r="D137" s="51">
        <v>25700</v>
      </c>
    </row>
    <row r="138" spans="1:4" ht="28.8">
      <c r="A138" s="14" t="s">
        <v>130</v>
      </c>
      <c r="B138" s="21" t="s">
        <v>540</v>
      </c>
      <c r="C138" s="61">
        <f t="shared" si="2"/>
        <v>194313</v>
      </c>
      <c r="D138" s="51">
        <v>34090</v>
      </c>
    </row>
    <row r="139" spans="1:4">
      <c r="A139" s="14" t="s">
        <v>131</v>
      </c>
      <c r="B139" s="21" t="s">
        <v>541</v>
      </c>
      <c r="C139" s="61">
        <f t="shared" si="2"/>
        <v>97755</v>
      </c>
      <c r="D139" s="51">
        <v>17150</v>
      </c>
    </row>
    <row r="140" spans="1:4">
      <c r="A140" s="14" t="s">
        <v>132</v>
      </c>
      <c r="B140" s="21" t="s">
        <v>542</v>
      </c>
      <c r="C140" s="61">
        <f t="shared" si="2"/>
        <v>220362</v>
      </c>
      <c r="D140" s="51">
        <v>38660</v>
      </c>
    </row>
    <row r="141" spans="1:4">
      <c r="A141" s="14" t="s">
        <v>133</v>
      </c>
      <c r="B141" s="26" t="s">
        <v>543</v>
      </c>
      <c r="C141" s="61">
        <f t="shared" si="2"/>
        <v>400083</v>
      </c>
      <c r="D141" s="51">
        <v>70190</v>
      </c>
    </row>
    <row r="142" spans="1:4">
      <c r="A142" s="14" t="s">
        <v>134</v>
      </c>
      <c r="B142" s="17"/>
      <c r="C142" s="61">
        <f t="shared" si="2"/>
        <v>577467</v>
      </c>
      <c r="D142" s="51">
        <v>101310</v>
      </c>
    </row>
    <row r="143" spans="1:4">
      <c r="A143" s="14" t="s">
        <v>135</v>
      </c>
      <c r="B143" s="21" t="s">
        <v>544</v>
      </c>
      <c r="C143" s="61">
        <f t="shared" si="2"/>
        <v>75981</v>
      </c>
      <c r="D143" s="51">
        <v>13330</v>
      </c>
    </row>
    <row r="144" spans="1:4" ht="28.8">
      <c r="A144" s="14" t="s">
        <v>136</v>
      </c>
      <c r="B144" s="21" t="s">
        <v>545</v>
      </c>
      <c r="C144" s="61">
        <f t="shared" si="2"/>
        <v>178923</v>
      </c>
      <c r="D144" s="51">
        <v>31390</v>
      </c>
    </row>
    <row r="145" spans="1:4">
      <c r="A145" s="14" t="s">
        <v>137</v>
      </c>
      <c r="B145" s="26" t="s">
        <v>546</v>
      </c>
      <c r="C145" s="61">
        <f t="shared" si="2"/>
        <v>116223</v>
      </c>
      <c r="D145" s="51">
        <v>20390</v>
      </c>
    </row>
    <row r="146" spans="1:4" ht="28.8">
      <c r="A146" s="14" t="s">
        <v>138</v>
      </c>
      <c r="B146" s="21" t="s">
        <v>547</v>
      </c>
      <c r="C146" s="61">
        <f t="shared" si="2"/>
        <v>119472</v>
      </c>
      <c r="D146" s="51">
        <v>20960</v>
      </c>
    </row>
    <row r="147" spans="1:4">
      <c r="A147" s="14" t="s">
        <v>139</v>
      </c>
      <c r="B147" s="21" t="s">
        <v>548</v>
      </c>
      <c r="C147" s="61">
        <f t="shared" si="2"/>
        <v>318231</v>
      </c>
      <c r="D147" s="51">
        <v>55830</v>
      </c>
    </row>
    <row r="148" spans="1:4">
      <c r="A148" s="14" t="s">
        <v>140</v>
      </c>
      <c r="B148" s="26" t="s">
        <v>549</v>
      </c>
      <c r="C148" s="61">
        <f t="shared" si="2"/>
        <v>250857</v>
      </c>
      <c r="D148" s="51">
        <v>44010</v>
      </c>
    </row>
    <row r="149" spans="1:4">
      <c r="A149" s="14" t="s">
        <v>141</v>
      </c>
      <c r="B149" s="26" t="s">
        <v>550</v>
      </c>
      <c r="C149" s="61">
        <f t="shared" si="2"/>
        <v>143868</v>
      </c>
      <c r="D149" s="51">
        <v>25240</v>
      </c>
    </row>
    <row r="150" spans="1:4" ht="28.8">
      <c r="A150" s="14" t="s">
        <v>142</v>
      </c>
      <c r="B150" s="21" t="s">
        <v>551</v>
      </c>
      <c r="C150" s="61">
        <f t="shared" si="2"/>
        <v>262656</v>
      </c>
      <c r="D150" s="51">
        <v>46080</v>
      </c>
    </row>
    <row r="151" spans="1:4">
      <c r="A151" s="14" t="s">
        <v>143</v>
      </c>
      <c r="B151" s="17"/>
      <c r="C151" s="61">
        <f t="shared" si="2"/>
        <v>445569</v>
      </c>
      <c r="D151" s="51">
        <v>78170</v>
      </c>
    </row>
    <row r="152" spans="1:4" ht="28.8">
      <c r="A152" s="14" t="s">
        <v>144</v>
      </c>
      <c r="B152" s="21" t="s">
        <v>552</v>
      </c>
      <c r="C152" s="61">
        <f t="shared" si="2"/>
        <v>94962</v>
      </c>
      <c r="D152" s="51">
        <v>16660</v>
      </c>
    </row>
    <row r="153" spans="1:4" ht="28.8">
      <c r="A153" s="14" t="s">
        <v>145</v>
      </c>
      <c r="B153" s="21" t="s">
        <v>553</v>
      </c>
      <c r="C153" s="61">
        <f t="shared" si="2"/>
        <v>429951</v>
      </c>
      <c r="D153" s="51">
        <v>75430</v>
      </c>
    </row>
    <row r="154" spans="1:4">
      <c r="A154" s="14" t="s">
        <v>146</v>
      </c>
      <c r="B154" s="26" t="s">
        <v>554</v>
      </c>
      <c r="C154" s="61">
        <f t="shared" si="2"/>
        <v>165243</v>
      </c>
      <c r="D154" s="51">
        <v>28990</v>
      </c>
    </row>
    <row r="155" spans="1:4" ht="28.8">
      <c r="A155" s="14" t="s">
        <v>147</v>
      </c>
      <c r="B155" s="21" t="s">
        <v>555</v>
      </c>
      <c r="C155" s="61">
        <f t="shared" si="2"/>
        <v>146034</v>
      </c>
      <c r="D155" s="51">
        <v>25620</v>
      </c>
    </row>
    <row r="156" spans="1:4">
      <c r="A156" s="14" t="s">
        <v>148</v>
      </c>
      <c r="B156" s="26" t="s">
        <v>556</v>
      </c>
      <c r="C156" s="61">
        <f t="shared" si="2"/>
        <v>639312</v>
      </c>
      <c r="D156" s="51">
        <v>112160</v>
      </c>
    </row>
    <row r="157" spans="1:4" ht="28.8">
      <c r="A157" s="14" t="s">
        <v>149</v>
      </c>
      <c r="B157" s="26" t="s">
        <v>425</v>
      </c>
      <c r="C157" s="61">
        <f t="shared" si="2"/>
        <v>180234</v>
      </c>
      <c r="D157" s="51">
        <v>31620</v>
      </c>
    </row>
    <row r="158" spans="1:4">
      <c r="A158" s="6"/>
      <c r="B158" s="28" t="s">
        <v>150</v>
      </c>
      <c r="C158" s="61">
        <f t="shared" si="2"/>
        <v>0</v>
      </c>
      <c r="D158" s="51"/>
    </row>
    <row r="159" spans="1:4">
      <c r="A159" s="14" t="s">
        <v>151</v>
      </c>
      <c r="B159" s="17" t="s">
        <v>646</v>
      </c>
      <c r="C159" s="61">
        <f t="shared" si="2"/>
        <v>734673</v>
      </c>
      <c r="D159" s="51">
        <v>128890</v>
      </c>
    </row>
    <row r="160" spans="1:4" ht="28.8">
      <c r="A160" s="14" t="s">
        <v>152</v>
      </c>
      <c r="B160" s="17" t="s">
        <v>647</v>
      </c>
      <c r="C160" s="61">
        <f t="shared" si="2"/>
        <v>619704</v>
      </c>
      <c r="D160" s="51">
        <v>108720</v>
      </c>
    </row>
    <row r="161" spans="1:4">
      <c r="A161" s="14" t="s">
        <v>153</v>
      </c>
      <c r="B161" s="17" t="s">
        <v>648</v>
      </c>
      <c r="C161" s="61">
        <f t="shared" si="2"/>
        <v>37563</v>
      </c>
      <c r="D161" s="51">
        <v>6590</v>
      </c>
    </row>
    <row r="162" spans="1:4">
      <c r="A162" s="14" t="s">
        <v>154</v>
      </c>
      <c r="B162" s="17" t="s">
        <v>649</v>
      </c>
      <c r="C162" s="61">
        <f t="shared" si="2"/>
        <v>170430</v>
      </c>
      <c r="D162" s="51">
        <v>29900</v>
      </c>
    </row>
    <row r="163" spans="1:4">
      <c r="A163" s="14" t="s">
        <v>155</v>
      </c>
      <c r="B163" s="17" t="s">
        <v>650</v>
      </c>
      <c r="C163" s="61">
        <f t="shared" si="2"/>
        <v>313215</v>
      </c>
      <c r="D163" s="51">
        <v>54950</v>
      </c>
    </row>
    <row r="164" spans="1:4">
      <c r="A164" s="14" t="s">
        <v>156</v>
      </c>
      <c r="B164" s="17" t="s">
        <v>652</v>
      </c>
      <c r="C164" s="61">
        <f t="shared" si="2"/>
        <v>857508</v>
      </c>
      <c r="D164" s="51">
        <v>150440</v>
      </c>
    </row>
    <row r="165" spans="1:4">
      <c r="A165" s="14" t="s">
        <v>157</v>
      </c>
      <c r="B165" s="17" t="s">
        <v>651</v>
      </c>
      <c r="C165" s="61">
        <f t="shared" si="2"/>
        <v>1576164</v>
      </c>
      <c r="D165" s="51">
        <v>276520</v>
      </c>
    </row>
    <row r="166" spans="1:4">
      <c r="A166" s="14" t="s">
        <v>158</v>
      </c>
      <c r="B166" s="17" t="s">
        <v>653</v>
      </c>
      <c r="C166" s="61">
        <f t="shared" si="2"/>
        <v>133836</v>
      </c>
      <c r="D166" s="51">
        <v>23480</v>
      </c>
    </row>
    <row r="167" spans="1:4">
      <c r="A167" s="14" t="s">
        <v>159</v>
      </c>
      <c r="B167" s="17" t="s">
        <v>654</v>
      </c>
      <c r="C167" s="61">
        <f t="shared" si="2"/>
        <v>267957</v>
      </c>
      <c r="D167" s="51">
        <v>47010</v>
      </c>
    </row>
    <row r="168" spans="1:4">
      <c r="A168" s="14" t="s">
        <v>160</v>
      </c>
      <c r="B168" s="17" t="s">
        <v>655</v>
      </c>
      <c r="C168" s="61">
        <f t="shared" si="2"/>
        <v>37563</v>
      </c>
      <c r="D168" s="51">
        <v>6590</v>
      </c>
    </row>
    <row r="169" spans="1:4">
      <c r="A169" s="14" t="s">
        <v>161</v>
      </c>
      <c r="B169" s="17" t="s">
        <v>656</v>
      </c>
      <c r="C169" s="61">
        <f t="shared" si="2"/>
        <v>170430</v>
      </c>
      <c r="D169" s="51">
        <v>29900</v>
      </c>
    </row>
    <row r="170" spans="1:4">
      <c r="A170" s="14" t="s">
        <v>162</v>
      </c>
      <c r="B170" s="17" t="s">
        <v>657</v>
      </c>
      <c r="C170" s="61">
        <f t="shared" si="2"/>
        <v>313215</v>
      </c>
      <c r="D170" s="51">
        <v>54950</v>
      </c>
    </row>
    <row r="171" spans="1:4" ht="28.8">
      <c r="A171" s="14" t="s">
        <v>163</v>
      </c>
      <c r="B171" s="17" t="s">
        <v>659</v>
      </c>
      <c r="C171" s="61">
        <f t="shared" si="2"/>
        <v>857508</v>
      </c>
      <c r="D171" s="51">
        <v>150440</v>
      </c>
    </row>
    <row r="172" spans="1:4" ht="28.8">
      <c r="A172" s="14" t="s">
        <v>164</v>
      </c>
      <c r="B172" s="17" t="s">
        <v>658</v>
      </c>
      <c r="C172" s="61">
        <f t="shared" si="2"/>
        <v>1576164</v>
      </c>
      <c r="D172" s="51">
        <v>276520</v>
      </c>
    </row>
    <row r="173" spans="1:4">
      <c r="A173" s="14" t="s">
        <v>165</v>
      </c>
      <c r="B173" s="17" t="s">
        <v>660</v>
      </c>
      <c r="C173" s="61">
        <f t="shared" si="2"/>
        <v>40926</v>
      </c>
      <c r="D173" s="51">
        <v>7180</v>
      </c>
    </row>
    <row r="174" spans="1:4">
      <c r="A174" s="14" t="s">
        <v>166</v>
      </c>
      <c r="B174" s="17" t="s">
        <v>661</v>
      </c>
      <c r="C174" s="61">
        <f t="shared" si="2"/>
        <v>80997</v>
      </c>
      <c r="D174" s="51">
        <v>14210</v>
      </c>
    </row>
    <row r="175" spans="1:4" ht="28.8">
      <c r="A175" s="14" t="s">
        <v>167</v>
      </c>
      <c r="B175" s="26" t="s">
        <v>662</v>
      </c>
      <c r="C175" s="61">
        <f t="shared" si="2"/>
        <v>26277</v>
      </c>
      <c r="D175" s="51">
        <v>4610</v>
      </c>
    </row>
    <row r="176" spans="1:4" ht="28.8">
      <c r="A176" s="14" t="s">
        <v>168</v>
      </c>
      <c r="B176" s="26" t="s">
        <v>663</v>
      </c>
      <c r="C176" s="61">
        <f t="shared" si="2"/>
        <v>191235</v>
      </c>
      <c r="D176" s="51">
        <v>33550</v>
      </c>
    </row>
    <row r="177" spans="1:4">
      <c r="A177" s="14" t="s">
        <v>169</v>
      </c>
      <c r="B177" s="26" t="s">
        <v>664</v>
      </c>
      <c r="C177" s="61">
        <f t="shared" si="2"/>
        <v>5529</v>
      </c>
      <c r="D177" s="51">
        <v>970</v>
      </c>
    </row>
    <row r="178" spans="1:4">
      <c r="A178" s="14" t="s">
        <v>170</v>
      </c>
      <c r="B178" s="26" t="s">
        <v>665</v>
      </c>
      <c r="C178" s="61">
        <f t="shared" si="2"/>
        <v>35682</v>
      </c>
      <c r="D178" s="51">
        <v>6260</v>
      </c>
    </row>
    <row r="179" spans="1:4">
      <c r="A179" s="14" t="s">
        <v>171</v>
      </c>
      <c r="B179" s="26" t="s">
        <v>666</v>
      </c>
      <c r="C179" s="61">
        <f t="shared" si="2"/>
        <v>8037</v>
      </c>
      <c r="D179" s="51">
        <v>1410</v>
      </c>
    </row>
    <row r="180" spans="1:4">
      <c r="A180" s="14" t="s">
        <v>172</v>
      </c>
      <c r="B180" s="26" t="s">
        <v>667</v>
      </c>
      <c r="C180" s="61">
        <f t="shared" si="2"/>
        <v>117705</v>
      </c>
      <c r="D180" s="51">
        <v>20650</v>
      </c>
    </row>
    <row r="181" spans="1:4" ht="28.8">
      <c r="A181" s="14" t="s">
        <v>173</v>
      </c>
      <c r="B181" s="26" t="s">
        <v>668</v>
      </c>
      <c r="C181" s="61">
        <f t="shared" si="2"/>
        <v>121980</v>
      </c>
      <c r="D181" s="51">
        <v>21400</v>
      </c>
    </row>
    <row r="182" spans="1:4">
      <c r="A182" s="14" t="s">
        <v>174</v>
      </c>
      <c r="B182" s="21" t="s">
        <v>669</v>
      </c>
      <c r="C182" s="61">
        <f t="shared" si="2"/>
        <v>80997</v>
      </c>
      <c r="D182" s="51">
        <v>14210</v>
      </c>
    </row>
    <row r="183" spans="1:4" ht="28.8">
      <c r="A183" s="14" t="s">
        <v>175</v>
      </c>
      <c r="B183" s="21" t="s">
        <v>670</v>
      </c>
      <c r="C183" s="61">
        <f t="shared" si="2"/>
        <v>26277</v>
      </c>
      <c r="D183" s="51">
        <v>4610</v>
      </c>
    </row>
    <row r="184" spans="1:4" ht="28.8">
      <c r="A184" s="14" t="s">
        <v>176</v>
      </c>
      <c r="B184" s="21" t="s">
        <v>671</v>
      </c>
      <c r="C184" s="61">
        <f t="shared" si="2"/>
        <v>191235</v>
      </c>
      <c r="D184" s="51">
        <v>33550</v>
      </c>
    </row>
    <row r="185" spans="1:4">
      <c r="A185" s="14" t="s">
        <v>177</v>
      </c>
      <c r="B185" s="12" t="s">
        <v>677</v>
      </c>
      <c r="C185" s="61">
        <f t="shared" si="2"/>
        <v>5529</v>
      </c>
      <c r="D185" s="51">
        <v>970</v>
      </c>
    </row>
    <row r="186" spans="1:4">
      <c r="A186" s="14" t="s">
        <v>178</v>
      </c>
      <c r="B186" s="12" t="s">
        <v>672</v>
      </c>
      <c r="C186" s="61">
        <f t="shared" si="2"/>
        <v>35682</v>
      </c>
      <c r="D186" s="51">
        <v>6260</v>
      </c>
    </row>
    <row r="187" spans="1:4">
      <c r="A187" s="14" t="s">
        <v>179</v>
      </c>
      <c r="B187" s="26" t="s">
        <v>673</v>
      </c>
      <c r="C187" s="61">
        <f t="shared" si="2"/>
        <v>8094</v>
      </c>
      <c r="D187" s="51">
        <v>1420</v>
      </c>
    </row>
    <row r="188" spans="1:4">
      <c r="A188" s="14" t="s">
        <v>180</v>
      </c>
      <c r="B188" s="26" t="s">
        <v>674</v>
      </c>
      <c r="C188" s="61">
        <f t="shared" si="2"/>
        <v>117705</v>
      </c>
      <c r="D188" s="51">
        <v>20650</v>
      </c>
    </row>
    <row r="189" spans="1:4" ht="28.8">
      <c r="A189" s="14" t="s">
        <v>181</v>
      </c>
      <c r="B189" s="21" t="s">
        <v>675</v>
      </c>
      <c r="C189" s="61">
        <f t="shared" si="2"/>
        <v>121980</v>
      </c>
      <c r="D189" s="51">
        <v>21400</v>
      </c>
    </row>
    <row r="190" spans="1:4">
      <c r="A190" s="14" t="s">
        <v>182</v>
      </c>
      <c r="B190" s="26" t="s">
        <v>676</v>
      </c>
      <c r="C190" s="61">
        <f t="shared" si="2"/>
        <v>392502</v>
      </c>
      <c r="D190" s="51">
        <v>68860</v>
      </c>
    </row>
    <row r="191" spans="1:4">
      <c r="A191" s="6"/>
      <c r="B191" s="28" t="s">
        <v>183</v>
      </c>
      <c r="C191" s="61">
        <f t="shared" si="2"/>
        <v>0</v>
      </c>
      <c r="D191" s="51"/>
    </row>
    <row r="192" spans="1:4" ht="72">
      <c r="A192" s="14" t="s">
        <v>679</v>
      </c>
      <c r="B192" s="21" t="s">
        <v>698</v>
      </c>
      <c r="C192" s="61">
        <f t="shared" si="2"/>
        <v>26790</v>
      </c>
      <c r="D192" s="51">
        <v>4700</v>
      </c>
    </row>
    <row r="193" spans="1:4" ht="72">
      <c r="A193" s="14" t="s">
        <v>680</v>
      </c>
      <c r="B193" s="21" t="s">
        <v>699</v>
      </c>
      <c r="C193" s="61">
        <f t="shared" si="2"/>
        <v>52098</v>
      </c>
      <c r="D193" s="51">
        <v>9140</v>
      </c>
    </row>
    <row r="194" spans="1:4" ht="100.8">
      <c r="A194" s="14" t="s">
        <v>681</v>
      </c>
      <c r="B194" s="21" t="s">
        <v>700</v>
      </c>
      <c r="C194" s="61">
        <f t="shared" si="2"/>
        <v>79173</v>
      </c>
      <c r="D194" s="51">
        <v>13890</v>
      </c>
    </row>
    <row r="195" spans="1:4">
      <c r="A195" s="14" t="s">
        <v>682</v>
      </c>
      <c r="B195" s="21" t="s">
        <v>701</v>
      </c>
      <c r="C195" s="61">
        <f t="shared" si="2"/>
        <v>35112</v>
      </c>
      <c r="D195" s="51">
        <v>6160</v>
      </c>
    </row>
    <row r="196" spans="1:4">
      <c r="A196" s="14" t="s">
        <v>683</v>
      </c>
      <c r="B196" s="21" t="s">
        <v>702</v>
      </c>
      <c r="C196" s="61">
        <f t="shared" si="2"/>
        <v>49134</v>
      </c>
      <c r="D196" s="51">
        <v>8620</v>
      </c>
    </row>
    <row r="197" spans="1:4" ht="28.8">
      <c r="A197" s="14" t="s">
        <v>684</v>
      </c>
      <c r="B197" s="21" t="s">
        <v>703</v>
      </c>
      <c r="C197" s="61">
        <f t="shared" ref="C197:C260" si="3">D197*курс_рубля</f>
        <v>37620</v>
      </c>
      <c r="D197" s="51">
        <v>6600</v>
      </c>
    </row>
    <row r="198" spans="1:4" ht="28.8">
      <c r="A198" s="14" t="s">
        <v>685</v>
      </c>
      <c r="B198" s="21" t="s">
        <v>704</v>
      </c>
      <c r="C198" s="61">
        <f t="shared" si="3"/>
        <v>52440</v>
      </c>
      <c r="D198" s="51">
        <v>9200</v>
      </c>
    </row>
    <row r="199" spans="1:4" ht="28.8">
      <c r="A199" s="14" t="s">
        <v>686</v>
      </c>
      <c r="B199" s="21" t="s">
        <v>705</v>
      </c>
      <c r="C199" s="61">
        <f t="shared" si="3"/>
        <v>68799</v>
      </c>
      <c r="D199" s="51">
        <v>12070</v>
      </c>
    </row>
    <row r="200" spans="1:4" ht="28.8">
      <c r="A200" s="14" t="s">
        <v>687</v>
      </c>
      <c r="B200" s="21" t="s">
        <v>706</v>
      </c>
      <c r="C200" s="61">
        <f t="shared" si="3"/>
        <v>41040</v>
      </c>
      <c r="D200" s="51">
        <v>7200</v>
      </c>
    </row>
    <row r="201" spans="1:4" ht="28.8">
      <c r="A201" s="14" t="s">
        <v>688</v>
      </c>
      <c r="B201" s="21" t="s">
        <v>707</v>
      </c>
      <c r="C201" s="61">
        <f t="shared" si="3"/>
        <v>63897</v>
      </c>
      <c r="D201" s="51">
        <v>11210</v>
      </c>
    </row>
    <row r="202" spans="1:4" ht="28.8">
      <c r="A202" s="14" t="s">
        <v>689</v>
      </c>
      <c r="B202" s="21" t="s">
        <v>708</v>
      </c>
      <c r="C202" s="61">
        <f t="shared" si="3"/>
        <v>86811</v>
      </c>
      <c r="D202" s="51">
        <v>15230</v>
      </c>
    </row>
    <row r="203" spans="1:4">
      <c r="A203" s="14" t="s">
        <v>184</v>
      </c>
      <c r="B203" s="26" t="s">
        <v>709</v>
      </c>
      <c r="C203" s="61">
        <f t="shared" si="3"/>
        <v>333564</v>
      </c>
      <c r="D203" s="51">
        <v>58520</v>
      </c>
    </row>
    <row r="204" spans="1:4" ht="57.6">
      <c r="A204" s="14" t="s">
        <v>185</v>
      </c>
      <c r="B204" s="21" t="s">
        <v>710</v>
      </c>
      <c r="C204" s="61">
        <f t="shared" si="3"/>
        <v>36138</v>
      </c>
      <c r="D204" s="51">
        <v>6340</v>
      </c>
    </row>
    <row r="205" spans="1:4" ht="72">
      <c r="A205" s="14" t="s">
        <v>690</v>
      </c>
      <c r="B205" s="21" t="s">
        <v>711</v>
      </c>
      <c r="C205" s="61">
        <f t="shared" si="3"/>
        <v>51471</v>
      </c>
      <c r="D205" s="51">
        <v>9030</v>
      </c>
    </row>
    <row r="206" spans="1:4" ht="43.2">
      <c r="A206" s="14" t="s">
        <v>691</v>
      </c>
      <c r="B206" s="21" t="s">
        <v>712</v>
      </c>
      <c r="C206" s="61">
        <f t="shared" si="3"/>
        <v>37620</v>
      </c>
      <c r="D206" s="51">
        <v>6600</v>
      </c>
    </row>
    <row r="207" spans="1:4">
      <c r="A207" s="14" t="s">
        <v>186</v>
      </c>
      <c r="B207" s="26" t="s">
        <v>714</v>
      </c>
      <c r="C207" s="61">
        <f t="shared" si="3"/>
        <v>35226</v>
      </c>
      <c r="D207" s="51">
        <v>6180</v>
      </c>
    </row>
    <row r="208" spans="1:4">
      <c r="A208" s="14" t="s">
        <v>187</v>
      </c>
      <c r="B208" s="15" t="s">
        <v>713</v>
      </c>
      <c r="C208" s="61">
        <f t="shared" si="3"/>
        <v>60477</v>
      </c>
      <c r="D208" s="51">
        <v>10610</v>
      </c>
    </row>
    <row r="209" spans="1:4">
      <c r="A209" s="14" t="s">
        <v>188</v>
      </c>
      <c r="B209" s="26" t="s">
        <v>716</v>
      </c>
      <c r="C209" s="61">
        <f t="shared" si="3"/>
        <v>33744</v>
      </c>
      <c r="D209" s="51">
        <v>5920</v>
      </c>
    </row>
    <row r="210" spans="1:4">
      <c r="A210" s="14" t="s">
        <v>189</v>
      </c>
      <c r="B210" s="21" t="s">
        <v>717</v>
      </c>
      <c r="C210" s="61">
        <f t="shared" si="3"/>
        <v>81225</v>
      </c>
      <c r="D210" s="51">
        <v>14250</v>
      </c>
    </row>
    <row r="211" spans="1:4">
      <c r="A211" s="14" t="s">
        <v>190</v>
      </c>
      <c r="B211" s="21" t="s">
        <v>718</v>
      </c>
      <c r="C211" s="61">
        <f t="shared" si="3"/>
        <v>104652</v>
      </c>
      <c r="D211" s="51">
        <v>18360</v>
      </c>
    </row>
    <row r="212" spans="1:4">
      <c r="A212" s="14" t="s">
        <v>191</v>
      </c>
      <c r="B212" s="21" t="s">
        <v>719</v>
      </c>
      <c r="C212" s="61">
        <f t="shared" si="3"/>
        <v>53580</v>
      </c>
      <c r="D212" s="51">
        <v>9400</v>
      </c>
    </row>
    <row r="213" spans="1:4">
      <c r="A213" s="14" t="s">
        <v>192</v>
      </c>
      <c r="B213" s="21" t="s">
        <v>720</v>
      </c>
      <c r="C213" s="61">
        <f t="shared" si="3"/>
        <v>61218</v>
      </c>
      <c r="D213" s="51">
        <v>10740</v>
      </c>
    </row>
    <row r="214" spans="1:4">
      <c r="A214" s="14" t="s">
        <v>722</v>
      </c>
      <c r="B214" s="15" t="s">
        <v>721</v>
      </c>
      <c r="C214" s="61">
        <f t="shared" si="3"/>
        <v>120612</v>
      </c>
      <c r="D214" s="51">
        <v>21160</v>
      </c>
    </row>
    <row r="215" spans="1:4">
      <c r="A215" s="14" t="s">
        <v>193</v>
      </c>
      <c r="B215" s="26" t="s">
        <v>723</v>
      </c>
      <c r="C215" s="61">
        <f t="shared" si="3"/>
        <v>47880</v>
      </c>
      <c r="D215" s="51">
        <v>8400</v>
      </c>
    </row>
    <row r="216" spans="1:4" ht="28.8">
      <c r="A216" s="14" t="s">
        <v>194</v>
      </c>
      <c r="B216" s="21" t="s">
        <v>724</v>
      </c>
      <c r="C216" s="61">
        <f t="shared" si="3"/>
        <v>12255</v>
      </c>
      <c r="D216" s="51">
        <v>2150</v>
      </c>
    </row>
    <row r="217" spans="1:4">
      <c r="A217" s="14" t="s">
        <v>195</v>
      </c>
      <c r="B217" s="26" t="s">
        <v>725</v>
      </c>
      <c r="C217" s="61">
        <f t="shared" si="3"/>
        <v>34998</v>
      </c>
      <c r="D217" s="51">
        <v>6140</v>
      </c>
    </row>
    <row r="218" spans="1:4">
      <c r="A218" s="17" t="s">
        <v>196</v>
      </c>
      <c r="B218" s="26" t="s">
        <v>726</v>
      </c>
      <c r="C218" s="61">
        <f t="shared" si="3"/>
        <v>54891</v>
      </c>
      <c r="D218" s="51">
        <v>9630</v>
      </c>
    </row>
    <row r="219" spans="1:4">
      <c r="A219" s="17" t="s">
        <v>197</v>
      </c>
      <c r="B219" s="21" t="s">
        <v>727</v>
      </c>
      <c r="C219" s="61">
        <f t="shared" si="3"/>
        <v>5415</v>
      </c>
      <c r="D219" s="51">
        <v>950</v>
      </c>
    </row>
    <row r="220" spans="1:4">
      <c r="A220" s="17" t="s">
        <v>729</v>
      </c>
      <c r="B220" s="26" t="s">
        <v>728</v>
      </c>
      <c r="C220" s="61">
        <f t="shared" si="3"/>
        <v>9861</v>
      </c>
      <c r="D220" s="51">
        <v>1730</v>
      </c>
    </row>
    <row r="221" spans="1:4">
      <c r="A221" s="17" t="s">
        <v>731</v>
      </c>
      <c r="B221" s="26" t="s">
        <v>730</v>
      </c>
      <c r="C221" s="61">
        <f t="shared" si="3"/>
        <v>12141</v>
      </c>
      <c r="D221" s="51">
        <v>2130</v>
      </c>
    </row>
    <row r="222" spans="1:4">
      <c r="A222" s="17" t="s">
        <v>198</v>
      </c>
      <c r="B222" s="26" t="s">
        <v>732</v>
      </c>
      <c r="C222" s="61">
        <f t="shared" si="3"/>
        <v>3249</v>
      </c>
      <c r="D222" s="51">
        <v>570</v>
      </c>
    </row>
    <row r="223" spans="1:4">
      <c r="A223" s="17" t="s">
        <v>199</v>
      </c>
      <c r="B223" s="15" t="s">
        <v>715</v>
      </c>
      <c r="C223" s="61">
        <f t="shared" si="3"/>
        <v>22857</v>
      </c>
      <c r="D223" s="51">
        <v>4010</v>
      </c>
    </row>
    <row r="224" spans="1:4">
      <c r="A224" s="8"/>
      <c r="B224" s="28" t="s">
        <v>200</v>
      </c>
      <c r="C224" s="61">
        <f t="shared" si="3"/>
        <v>0</v>
      </c>
      <c r="D224" s="51"/>
    </row>
    <row r="225" spans="1:8">
      <c r="A225" s="17" t="s">
        <v>201</v>
      </c>
      <c r="B225" s="26" t="s">
        <v>733</v>
      </c>
      <c r="C225" s="61">
        <f t="shared" si="3"/>
        <v>36480</v>
      </c>
      <c r="D225" s="51">
        <v>6400</v>
      </c>
    </row>
    <row r="226" spans="1:8">
      <c r="A226" s="17" t="s">
        <v>202</v>
      </c>
      <c r="B226" s="26" t="s">
        <v>734</v>
      </c>
      <c r="C226" s="61">
        <f t="shared" si="3"/>
        <v>26790</v>
      </c>
      <c r="D226" s="51">
        <v>4700</v>
      </c>
    </row>
    <row r="227" spans="1:8">
      <c r="A227" s="17" t="s">
        <v>203</v>
      </c>
      <c r="B227" s="26" t="s">
        <v>735</v>
      </c>
      <c r="C227" s="61">
        <f t="shared" si="3"/>
        <v>47196</v>
      </c>
      <c r="D227" s="51">
        <v>8280</v>
      </c>
    </row>
    <row r="228" spans="1:8">
      <c r="A228" s="17" t="s">
        <v>204</v>
      </c>
      <c r="B228" s="26" t="s">
        <v>736</v>
      </c>
      <c r="C228" s="61">
        <f t="shared" si="3"/>
        <v>54150</v>
      </c>
      <c r="D228" s="51">
        <v>9500</v>
      </c>
    </row>
    <row r="229" spans="1:8">
      <c r="A229" s="17" t="s">
        <v>205</v>
      </c>
      <c r="B229" s="26" t="s">
        <v>737</v>
      </c>
      <c r="C229" s="61">
        <f t="shared" si="3"/>
        <v>117306</v>
      </c>
      <c r="D229" s="51">
        <v>20580</v>
      </c>
    </row>
    <row r="230" spans="1:8">
      <c r="A230" s="17" t="s">
        <v>206</v>
      </c>
      <c r="B230" s="26" t="s">
        <v>738</v>
      </c>
      <c r="C230" s="61">
        <f t="shared" si="3"/>
        <v>232674</v>
      </c>
      <c r="D230" s="51">
        <v>40820</v>
      </c>
    </row>
    <row r="231" spans="1:8" ht="28.8">
      <c r="A231" s="17" t="s">
        <v>692</v>
      </c>
      <c r="B231" s="26" t="s">
        <v>739</v>
      </c>
      <c r="C231" s="61">
        <f t="shared" si="3"/>
        <v>18810</v>
      </c>
      <c r="D231" s="51">
        <v>3300</v>
      </c>
    </row>
    <row r="232" spans="1:8" ht="28.8">
      <c r="A232" s="17" t="s">
        <v>693</v>
      </c>
      <c r="B232" s="26" t="s">
        <v>740</v>
      </c>
      <c r="C232" s="61">
        <f t="shared" si="3"/>
        <v>26220</v>
      </c>
      <c r="D232" s="51">
        <v>4600</v>
      </c>
    </row>
    <row r="233" spans="1:8" ht="28.8">
      <c r="A233" s="17" t="s">
        <v>694</v>
      </c>
      <c r="B233" s="26" t="s">
        <v>741</v>
      </c>
      <c r="C233" s="61">
        <f t="shared" si="3"/>
        <v>51870</v>
      </c>
      <c r="D233" s="51">
        <v>9100</v>
      </c>
    </row>
    <row r="234" spans="1:8" ht="28.8">
      <c r="A234" s="17" t="s">
        <v>695</v>
      </c>
      <c r="B234" s="26" t="s">
        <v>742</v>
      </c>
      <c r="C234" s="61">
        <f t="shared" si="3"/>
        <v>64980</v>
      </c>
      <c r="D234" s="51">
        <v>11400</v>
      </c>
    </row>
    <row r="235" spans="1:8">
      <c r="A235" s="17" t="s">
        <v>696</v>
      </c>
      <c r="B235" s="26" t="s">
        <v>743</v>
      </c>
      <c r="C235" s="61">
        <f t="shared" si="3"/>
        <v>108300</v>
      </c>
      <c r="D235" s="51">
        <v>19000</v>
      </c>
    </row>
    <row r="236" spans="1:8" ht="28.8">
      <c r="A236" s="17" t="s">
        <v>697</v>
      </c>
      <c r="B236" s="26" t="s">
        <v>744</v>
      </c>
      <c r="C236" s="61">
        <f t="shared" si="3"/>
        <v>37335</v>
      </c>
      <c r="D236" s="51">
        <v>6550</v>
      </c>
    </row>
    <row r="237" spans="1:8">
      <c r="A237" s="14" t="s">
        <v>207</v>
      </c>
      <c r="B237" s="26" t="s">
        <v>745</v>
      </c>
      <c r="C237" s="61">
        <f t="shared" si="3"/>
        <v>58995</v>
      </c>
      <c r="D237" s="51">
        <v>10350</v>
      </c>
    </row>
    <row r="238" spans="1:8" ht="15.6">
      <c r="A238" s="14"/>
      <c r="B238" s="29" t="s">
        <v>373</v>
      </c>
      <c r="C238" s="61">
        <f t="shared" si="3"/>
        <v>0</v>
      </c>
      <c r="D238" s="51"/>
    </row>
    <row r="239" spans="1:8">
      <c r="A239" s="14" t="s">
        <v>374</v>
      </c>
      <c r="B239" s="15" t="s">
        <v>375</v>
      </c>
      <c r="C239" s="61">
        <f t="shared" si="3"/>
        <v>9611.5596330275221</v>
      </c>
      <c r="D239" s="51">
        <v>1686.2385321100917</v>
      </c>
      <c r="E239" s="58"/>
      <c r="F239" s="3"/>
      <c r="G239" s="4"/>
      <c r="H239" s="4"/>
    </row>
    <row r="240" spans="1:8">
      <c r="A240" s="14" t="s">
        <v>413</v>
      </c>
      <c r="B240" s="15" t="s">
        <v>376</v>
      </c>
      <c r="C240" s="61">
        <f t="shared" si="3"/>
        <v>9611.5596330275221</v>
      </c>
      <c r="D240" s="51">
        <v>1686.2385321100917</v>
      </c>
      <c r="E240" s="58"/>
      <c r="F240" s="3"/>
      <c r="G240" s="4"/>
      <c r="H240" s="4"/>
    </row>
    <row r="241" spans="1:8">
      <c r="A241" s="14" t="s">
        <v>412</v>
      </c>
      <c r="B241" s="15" t="s">
        <v>346</v>
      </c>
      <c r="C241" s="61">
        <f t="shared" si="3"/>
        <v>17037.247706422018</v>
      </c>
      <c r="D241" s="51">
        <v>2988.9908256880731</v>
      </c>
      <c r="E241" s="58"/>
      <c r="F241" s="3"/>
      <c r="G241" s="4"/>
      <c r="H241" s="4"/>
    </row>
    <row r="242" spans="1:8">
      <c r="A242" s="14" t="s">
        <v>411</v>
      </c>
      <c r="B242" s="15" t="s">
        <v>377</v>
      </c>
      <c r="C242" s="61">
        <f t="shared" si="3"/>
        <v>11807.889908256881</v>
      </c>
      <c r="D242" s="51">
        <v>2071.559633027523</v>
      </c>
      <c r="E242" s="58"/>
      <c r="F242" s="3"/>
      <c r="G242" s="4"/>
      <c r="H242" s="4"/>
    </row>
    <row r="243" spans="1:8">
      <c r="A243" s="14" t="s">
        <v>410</v>
      </c>
      <c r="B243" s="15" t="s">
        <v>347</v>
      </c>
      <c r="C243" s="61">
        <f t="shared" si="3"/>
        <v>19756.51376146789</v>
      </c>
      <c r="D243" s="51">
        <v>3466.0550458715597</v>
      </c>
      <c r="E243" s="58"/>
      <c r="F243" s="3"/>
      <c r="G243" s="4"/>
      <c r="H243" s="4"/>
    </row>
    <row r="244" spans="1:8">
      <c r="A244" s="14" t="s">
        <v>409</v>
      </c>
      <c r="B244" s="15" t="s">
        <v>378</v>
      </c>
      <c r="C244" s="61">
        <f t="shared" si="3"/>
        <v>15154.67889908257</v>
      </c>
      <c r="D244" s="51">
        <v>2658.7155963302753</v>
      </c>
      <c r="E244" s="58"/>
      <c r="F244" s="3"/>
      <c r="G244" s="4"/>
      <c r="H244" s="4"/>
    </row>
    <row r="245" spans="1:8">
      <c r="A245" s="14" t="s">
        <v>408</v>
      </c>
      <c r="B245" s="15" t="s">
        <v>348</v>
      </c>
      <c r="C245" s="61">
        <f t="shared" si="3"/>
        <v>20279.449541284404</v>
      </c>
      <c r="D245" s="51">
        <v>3557.7981651376144</v>
      </c>
      <c r="E245" s="58"/>
      <c r="F245" s="3"/>
      <c r="G245" s="4"/>
      <c r="H245" s="4"/>
    </row>
    <row r="246" spans="1:8">
      <c r="A246" s="14" t="s">
        <v>407</v>
      </c>
      <c r="B246" s="15" t="s">
        <v>349</v>
      </c>
      <c r="C246" s="61">
        <f t="shared" si="3"/>
        <v>23835.412844036695</v>
      </c>
      <c r="D246" s="51">
        <v>4181.6513761467886</v>
      </c>
      <c r="E246" s="58"/>
      <c r="F246" s="3"/>
      <c r="G246" s="4"/>
      <c r="H246" s="4"/>
    </row>
    <row r="247" spans="1:8">
      <c r="A247" s="14" t="s">
        <v>406</v>
      </c>
      <c r="B247" s="15" t="s">
        <v>350</v>
      </c>
      <c r="C247" s="61">
        <f t="shared" si="3"/>
        <v>26973.027522935783</v>
      </c>
      <c r="D247" s="51">
        <v>4732.1100917431195</v>
      </c>
      <c r="E247" s="58"/>
      <c r="F247" s="3"/>
      <c r="G247" s="4"/>
      <c r="H247" s="4"/>
    </row>
    <row r="248" spans="1:8">
      <c r="A248" s="14" t="s">
        <v>405</v>
      </c>
      <c r="B248" s="15" t="s">
        <v>351</v>
      </c>
      <c r="C248" s="61">
        <f t="shared" si="3"/>
        <v>26240.917431192662</v>
      </c>
      <c r="D248" s="51">
        <v>4603.6697247706425</v>
      </c>
      <c r="E248" s="58"/>
      <c r="F248" s="3"/>
      <c r="G248" s="4"/>
      <c r="H248" s="4"/>
    </row>
    <row r="249" spans="1:8">
      <c r="A249" s="14" t="s">
        <v>404</v>
      </c>
      <c r="B249" s="15" t="s">
        <v>352</v>
      </c>
      <c r="C249" s="61">
        <f t="shared" si="3"/>
        <v>32411.559633027526</v>
      </c>
      <c r="D249" s="51">
        <v>5686.2385321100919</v>
      </c>
      <c r="E249" s="58"/>
      <c r="F249" s="3"/>
      <c r="G249" s="4"/>
      <c r="H249" s="4"/>
    </row>
    <row r="250" spans="1:8">
      <c r="A250" s="14" t="s">
        <v>403</v>
      </c>
      <c r="B250" s="15" t="s">
        <v>353</v>
      </c>
      <c r="C250" s="61">
        <f t="shared" si="3"/>
        <v>9412.8440366972482</v>
      </c>
      <c r="D250" s="51">
        <v>1651.3761467889908</v>
      </c>
      <c r="E250" s="58"/>
      <c r="F250" s="3"/>
      <c r="G250" s="4"/>
      <c r="H250" s="4"/>
    </row>
    <row r="251" spans="1:8">
      <c r="A251" s="14" t="s">
        <v>402</v>
      </c>
      <c r="B251" s="15" t="s">
        <v>354</v>
      </c>
      <c r="C251" s="61">
        <f t="shared" si="3"/>
        <v>10134.495412844037</v>
      </c>
      <c r="D251" s="51">
        <v>1777.9816513761468</v>
      </c>
      <c r="E251" s="58"/>
      <c r="F251" s="3"/>
      <c r="G251" s="4"/>
      <c r="H251" s="4"/>
    </row>
    <row r="252" spans="1:8" ht="17.399999999999999" customHeight="1">
      <c r="A252" s="14" t="s">
        <v>401</v>
      </c>
      <c r="B252" s="15" t="s">
        <v>355</v>
      </c>
      <c r="C252" s="61">
        <f t="shared" si="3"/>
        <v>12330.825688073395</v>
      </c>
      <c r="D252" s="51">
        <v>2163.3027522935781</v>
      </c>
      <c r="E252" s="58"/>
      <c r="F252" s="3"/>
      <c r="G252" s="4"/>
      <c r="H252" s="4"/>
    </row>
    <row r="253" spans="1:8">
      <c r="A253" s="14" t="s">
        <v>401</v>
      </c>
      <c r="B253" s="15" t="s">
        <v>356</v>
      </c>
      <c r="C253" s="61">
        <f t="shared" si="3"/>
        <v>12330.825688073395</v>
      </c>
      <c r="D253" s="51">
        <v>2163.3027522935781</v>
      </c>
      <c r="E253" s="58"/>
      <c r="F253" s="3"/>
      <c r="G253" s="4"/>
      <c r="H253" s="4"/>
    </row>
    <row r="254" spans="1:8">
      <c r="A254" s="14" t="s">
        <v>400</v>
      </c>
      <c r="B254" s="15" t="s">
        <v>357</v>
      </c>
      <c r="C254" s="61">
        <f t="shared" si="3"/>
        <v>38895.963302752294</v>
      </c>
      <c r="D254" s="51">
        <v>6823.8532110091737</v>
      </c>
      <c r="E254" s="58"/>
      <c r="F254" s="3"/>
      <c r="G254" s="4"/>
      <c r="H254" s="4"/>
    </row>
    <row r="255" spans="1:8">
      <c r="A255" s="14" t="s">
        <v>399</v>
      </c>
      <c r="B255" s="15" t="s">
        <v>358</v>
      </c>
      <c r="C255" s="61">
        <f t="shared" si="3"/>
        <v>22580.366972477066</v>
      </c>
      <c r="D255" s="51">
        <v>3961.4678899082569</v>
      </c>
      <c r="E255" s="58"/>
      <c r="F255" s="3"/>
      <c r="G255" s="4"/>
      <c r="H255" s="4"/>
    </row>
    <row r="256" spans="1:8">
      <c r="A256" s="14" t="s">
        <v>398</v>
      </c>
      <c r="B256" s="15" t="s">
        <v>359</v>
      </c>
      <c r="C256" s="61">
        <f t="shared" si="3"/>
        <v>33248.256880733941</v>
      </c>
      <c r="D256" s="51">
        <v>5833.0275229357794</v>
      </c>
      <c r="E256" s="58"/>
      <c r="F256" s="3"/>
      <c r="G256" s="4"/>
      <c r="H256" s="4"/>
    </row>
    <row r="257" spans="1:8">
      <c r="A257" s="14" t="s">
        <v>397</v>
      </c>
      <c r="B257" s="15" t="s">
        <v>360</v>
      </c>
      <c r="C257" s="61">
        <f t="shared" si="3"/>
        <v>26450.091743119268</v>
      </c>
      <c r="D257" s="51">
        <v>4640.3669724770643</v>
      </c>
      <c r="E257" s="58"/>
      <c r="F257" s="3"/>
      <c r="G257" s="4"/>
      <c r="H257" s="4"/>
    </row>
    <row r="258" spans="1:8">
      <c r="A258" s="14" t="s">
        <v>396</v>
      </c>
      <c r="B258" s="15" t="s">
        <v>361</v>
      </c>
      <c r="C258" s="61">
        <f t="shared" si="3"/>
        <v>27600.550458715596</v>
      </c>
      <c r="D258" s="51">
        <v>4842.2018348623851</v>
      </c>
      <c r="E258" s="58"/>
      <c r="F258" s="3"/>
      <c r="G258" s="4"/>
      <c r="H258" s="4"/>
    </row>
    <row r="259" spans="1:8">
      <c r="A259" s="14" t="s">
        <v>395</v>
      </c>
      <c r="B259" s="15" t="s">
        <v>362</v>
      </c>
      <c r="C259" s="61">
        <f t="shared" si="3"/>
        <v>31051.926605504588</v>
      </c>
      <c r="D259" s="51">
        <v>5447.7064220183483</v>
      </c>
      <c r="E259" s="58"/>
      <c r="F259" s="3"/>
      <c r="G259" s="4"/>
      <c r="H259" s="4"/>
    </row>
    <row r="260" spans="1:8">
      <c r="A260" s="14"/>
      <c r="B260" s="30" t="s">
        <v>363</v>
      </c>
      <c r="C260" s="61">
        <f t="shared" si="3"/>
        <v>0</v>
      </c>
      <c r="D260" s="51"/>
      <c r="E260" s="58"/>
      <c r="F260" s="3"/>
      <c r="G260" s="4"/>
      <c r="H260" s="4"/>
    </row>
    <row r="261" spans="1:8">
      <c r="A261" s="14" t="s">
        <v>392</v>
      </c>
      <c r="B261" s="15" t="s">
        <v>364</v>
      </c>
      <c r="C261" s="61">
        <f t="shared" ref="C261:C324" si="4">D261*курс_рубля</f>
        <v>7728.9908256880726</v>
      </c>
      <c r="D261" s="51">
        <v>1355.9633027522934</v>
      </c>
      <c r="E261" s="58"/>
      <c r="F261" s="3"/>
      <c r="G261" s="4"/>
      <c r="H261" s="4"/>
    </row>
    <row r="262" spans="1:8">
      <c r="A262" s="14" t="s">
        <v>393</v>
      </c>
      <c r="B262" s="15" t="s">
        <v>365</v>
      </c>
      <c r="C262" s="61">
        <f t="shared" si="4"/>
        <v>12540</v>
      </c>
      <c r="D262" s="51">
        <v>2200</v>
      </c>
      <c r="E262" s="58"/>
      <c r="F262" s="3"/>
      <c r="G262" s="4"/>
      <c r="H262" s="4"/>
    </row>
    <row r="263" spans="1:8">
      <c r="A263" s="14" t="s">
        <v>394</v>
      </c>
      <c r="B263" s="15" t="s">
        <v>366</v>
      </c>
      <c r="C263" s="61">
        <f t="shared" si="4"/>
        <v>18815.229357798165</v>
      </c>
      <c r="D263" s="51">
        <v>3300.9174311926604</v>
      </c>
      <c r="E263" s="58"/>
      <c r="F263" s="3"/>
      <c r="G263" s="4"/>
      <c r="H263" s="4"/>
    </row>
    <row r="264" spans="1:8">
      <c r="A264" s="14"/>
      <c r="B264" s="30" t="s">
        <v>367</v>
      </c>
      <c r="C264" s="61">
        <f t="shared" si="4"/>
        <v>0</v>
      </c>
      <c r="D264" s="51"/>
      <c r="E264" s="58"/>
      <c r="F264" s="3"/>
      <c r="G264" s="4"/>
      <c r="H264" s="4"/>
    </row>
    <row r="265" spans="1:8">
      <c r="A265" s="14" t="s">
        <v>383</v>
      </c>
      <c r="B265" s="15" t="s">
        <v>379</v>
      </c>
      <c r="C265" s="61">
        <f t="shared" si="4"/>
        <v>5114.3119266055046</v>
      </c>
      <c r="D265" s="51">
        <v>897.24770642201827</v>
      </c>
      <c r="E265" s="58"/>
      <c r="F265" s="3"/>
      <c r="G265" s="4"/>
      <c r="H265" s="4"/>
    </row>
    <row r="266" spans="1:8">
      <c r="A266" s="14" t="s">
        <v>384</v>
      </c>
      <c r="B266" s="15" t="s">
        <v>380</v>
      </c>
      <c r="C266" s="61">
        <f t="shared" si="4"/>
        <v>6892.2935779816517</v>
      </c>
      <c r="D266" s="51">
        <v>1209.1743119266055</v>
      </c>
      <c r="E266" s="58"/>
      <c r="F266" s="3"/>
      <c r="G266" s="4"/>
      <c r="H266" s="4"/>
    </row>
    <row r="267" spans="1:8">
      <c r="A267" s="14" t="s">
        <v>385</v>
      </c>
      <c r="B267" s="15" t="s">
        <v>381</v>
      </c>
      <c r="C267" s="61">
        <f t="shared" si="4"/>
        <v>12017.064220183485</v>
      </c>
      <c r="D267" s="51">
        <v>2108.2568807339449</v>
      </c>
      <c r="E267" s="58"/>
      <c r="F267" s="3"/>
      <c r="G267" s="4"/>
      <c r="H267" s="4"/>
    </row>
    <row r="268" spans="1:8">
      <c r="A268" s="14" t="s">
        <v>386</v>
      </c>
      <c r="B268" s="15" t="s">
        <v>368</v>
      </c>
      <c r="C268" s="61">
        <f t="shared" si="4"/>
        <v>14108.80733944954</v>
      </c>
      <c r="D268" s="51">
        <v>2475.229357798165</v>
      </c>
      <c r="E268" s="58"/>
      <c r="F268" s="3"/>
      <c r="G268" s="4"/>
      <c r="H268" s="4"/>
    </row>
    <row r="269" spans="1:8">
      <c r="A269" s="14" t="s">
        <v>387</v>
      </c>
      <c r="B269" s="15" t="s">
        <v>369</v>
      </c>
      <c r="C269" s="61">
        <f t="shared" si="4"/>
        <v>14108.80733944954</v>
      </c>
      <c r="D269" s="51">
        <v>2475.229357798165</v>
      </c>
      <c r="E269" s="58"/>
      <c r="F269" s="3"/>
      <c r="G269" s="4"/>
      <c r="H269" s="4"/>
    </row>
    <row r="270" spans="1:8">
      <c r="A270" s="14" t="s">
        <v>388</v>
      </c>
      <c r="B270" s="15" t="s">
        <v>382</v>
      </c>
      <c r="C270" s="61">
        <f t="shared" si="4"/>
        <v>15677.614678899081</v>
      </c>
      <c r="D270" s="51">
        <v>2750.45871559633</v>
      </c>
      <c r="E270" s="58"/>
      <c r="F270" s="3"/>
      <c r="G270" s="4"/>
      <c r="H270" s="4"/>
    </row>
    <row r="271" spans="1:8">
      <c r="A271" s="14" t="s">
        <v>389</v>
      </c>
      <c r="B271" s="15" t="s">
        <v>370</v>
      </c>
      <c r="C271" s="61">
        <f t="shared" si="4"/>
        <v>24776.697247706419</v>
      </c>
      <c r="D271" s="51">
        <v>4346.7889908256875</v>
      </c>
      <c r="E271" s="58"/>
      <c r="F271" s="3"/>
      <c r="G271" s="4"/>
      <c r="H271" s="4"/>
    </row>
    <row r="272" spans="1:8">
      <c r="A272" s="14" t="s">
        <v>390</v>
      </c>
      <c r="B272" s="15" t="s">
        <v>371</v>
      </c>
      <c r="C272" s="61">
        <f t="shared" si="4"/>
        <v>15677.614678899081</v>
      </c>
      <c r="D272" s="51">
        <v>2750.45871559633</v>
      </c>
      <c r="E272" s="58"/>
      <c r="F272" s="3"/>
      <c r="G272" s="4"/>
      <c r="H272" s="4"/>
    </row>
    <row r="273" spans="1:8">
      <c r="A273" s="14" t="s">
        <v>391</v>
      </c>
      <c r="B273" s="15" t="s">
        <v>372</v>
      </c>
      <c r="C273" s="61">
        <f t="shared" si="4"/>
        <v>23521.65137614679</v>
      </c>
      <c r="D273" s="51">
        <v>4126.6055045871562</v>
      </c>
      <c r="E273" s="58"/>
      <c r="F273" s="3"/>
      <c r="G273" s="4"/>
      <c r="H273" s="4"/>
    </row>
    <row r="274" spans="1:8" ht="15.6">
      <c r="A274" s="68"/>
      <c r="B274" s="69" t="s">
        <v>209</v>
      </c>
      <c r="C274" s="70"/>
      <c r="D274" s="71"/>
      <c r="E274" s="58"/>
      <c r="F274" s="3"/>
      <c r="G274" s="4"/>
      <c r="H274" s="4"/>
    </row>
    <row r="275" spans="1:8">
      <c r="A275" s="17" t="s">
        <v>279</v>
      </c>
      <c r="B275" s="31" t="s">
        <v>210</v>
      </c>
      <c r="C275" s="62">
        <v>282800</v>
      </c>
      <c r="D275" s="53"/>
      <c r="E275" s="58"/>
      <c r="F275" s="3"/>
      <c r="G275" s="4"/>
      <c r="H275" s="4"/>
    </row>
    <row r="276" spans="1:8">
      <c r="A276" s="17" t="s">
        <v>280</v>
      </c>
      <c r="B276" s="32" t="s">
        <v>211</v>
      </c>
      <c r="C276" s="61">
        <v>226100</v>
      </c>
      <c r="D276" s="53"/>
      <c r="E276" s="58"/>
      <c r="F276" s="3"/>
      <c r="G276" s="4"/>
      <c r="H276" s="4"/>
    </row>
    <row r="277" spans="1:8">
      <c r="A277" s="17" t="s">
        <v>281</v>
      </c>
      <c r="B277" s="32" t="s">
        <v>212</v>
      </c>
      <c r="C277" s="61">
        <v>21700</v>
      </c>
      <c r="D277" s="53"/>
      <c r="E277" s="58"/>
      <c r="F277" s="3"/>
      <c r="G277" s="4"/>
      <c r="H277" s="4"/>
    </row>
    <row r="278" spans="1:8">
      <c r="A278" s="17" t="s">
        <v>282</v>
      </c>
      <c r="B278" s="32" t="s">
        <v>213</v>
      </c>
      <c r="C278" s="61">
        <v>24500</v>
      </c>
      <c r="D278" s="53"/>
      <c r="E278" s="58"/>
      <c r="F278" s="3"/>
      <c r="G278" s="4"/>
      <c r="H278" s="4"/>
    </row>
    <row r="279" spans="1:8">
      <c r="A279" s="17" t="s">
        <v>283</v>
      </c>
      <c r="B279" s="32" t="s">
        <v>214</v>
      </c>
      <c r="C279" s="61">
        <v>24500</v>
      </c>
      <c r="D279" s="53"/>
      <c r="E279" s="58"/>
      <c r="F279" s="3"/>
      <c r="G279" s="4"/>
      <c r="H279" s="4"/>
    </row>
    <row r="280" spans="1:8">
      <c r="A280" s="17" t="s">
        <v>284</v>
      </c>
      <c r="B280" s="32" t="s">
        <v>215</v>
      </c>
      <c r="C280" s="61">
        <v>26600</v>
      </c>
      <c r="D280" s="53"/>
      <c r="E280" s="58"/>
      <c r="F280" s="3"/>
      <c r="G280" s="4"/>
      <c r="H280" s="4"/>
    </row>
    <row r="281" spans="1:8">
      <c r="A281" s="17" t="s">
        <v>285</v>
      </c>
      <c r="B281" s="32" t="s">
        <v>216</v>
      </c>
      <c r="C281" s="61">
        <v>40600</v>
      </c>
      <c r="D281" s="53"/>
      <c r="E281" s="58"/>
    </row>
    <row r="282" spans="1:8">
      <c r="A282" s="17" t="s">
        <v>286</v>
      </c>
      <c r="B282" s="32" t="s">
        <v>217</v>
      </c>
      <c r="C282" s="61">
        <v>37100</v>
      </c>
      <c r="D282" s="53"/>
      <c r="E282" s="58"/>
    </row>
    <row r="283" spans="1:8">
      <c r="A283" s="17" t="s">
        <v>287</v>
      </c>
      <c r="B283" s="32" t="s">
        <v>218</v>
      </c>
      <c r="C283" s="61">
        <v>56000</v>
      </c>
      <c r="D283" s="53"/>
      <c r="E283" s="58"/>
    </row>
    <row r="284" spans="1:8">
      <c r="A284" s="17" t="s">
        <v>288</v>
      </c>
      <c r="B284" s="32" t="s">
        <v>219</v>
      </c>
      <c r="C284" s="61">
        <v>65000</v>
      </c>
      <c r="D284" s="53"/>
      <c r="E284" s="58"/>
    </row>
    <row r="285" spans="1:8">
      <c r="A285" s="17" t="s">
        <v>289</v>
      </c>
      <c r="B285" s="32" t="s">
        <v>220</v>
      </c>
      <c r="C285" s="61">
        <v>77700</v>
      </c>
      <c r="D285" s="53"/>
      <c r="E285" s="58"/>
    </row>
    <row r="286" spans="1:8">
      <c r="A286" s="17" t="s">
        <v>290</v>
      </c>
      <c r="B286" s="2" t="s">
        <v>221</v>
      </c>
      <c r="C286" s="63">
        <v>46200</v>
      </c>
      <c r="D286" s="53"/>
      <c r="E286" s="58"/>
    </row>
    <row r="287" spans="1:8">
      <c r="A287" s="17" t="s">
        <v>291</v>
      </c>
      <c r="B287" s="32" t="s">
        <v>222</v>
      </c>
      <c r="C287" s="61">
        <v>50400</v>
      </c>
      <c r="D287" s="53"/>
      <c r="E287" s="58"/>
    </row>
    <row r="288" spans="1:8">
      <c r="A288" s="17" t="s">
        <v>292</v>
      </c>
      <c r="B288" s="32" t="s">
        <v>223</v>
      </c>
      <c r="C288" s="61">
        <v>57400</v>
      </c>
      <c r="D288" s="53"/>
      <c r="E288" s="58"/>
    </row>
    <row r="289" spans="1:5">
      <c r="A289" s="17" t="s">
        <v>293</v>
      </c>
      <c r="B289" s="32" t="s">
        <v>224</v>
      </c>
      <c r="C289" s="61">
        <v>86100</v>
      </c>
      <c r="D289" s="53"/>
      <c r="E289" s="58"/>
    </row>
    <row r="290" spans="1:5">
      <c r="A290" s="17" t="s">
        <v>294</v>
      </c>
      <c r="B290" s="32" t="s">
        <v>225</v>
      </c>
      <c r="C290" s="61">
        <v>117600</v>
      </c>
      <c r="D290" s="53"/>
      <c r="E290" s="58"/>
    </row>
    <row r="291" spans="1:5">
      <c r="A291" s="17" t="s">
        <v>295</v>
      </c>
      <c r="B291" s="32" t="s">
        <v>226</v>
      </c>
      <c r="C291" s="61">
        <v>48300</v>
      </c>
      <c r="D291" s="53"/>
      <c r="E291" s="58"/>
    </row>
    <row r="292" spans="1:5">
      <c r="A292" s="17" t="s">
        <v>296</v>
      </c>
      <c r="B292" s="32" t="s">
        <v>227</v>
      </c>
      <c r="C292" s="61">
        <v>29400</v>
      </c>
      <c r="D292" s="53"/>
      <c r="E292" s="58"/>
    </row>
    <row r="293" spans="1:5">
      <c r="A293" s="17" t="s">
        <v>297</v>
      </c>
      <c r="B293" s="32" t="s">
        <v>228</v>
      </c>
      <c r="C293" s="61">
        <v>56000</v>
      </c>
      <c r="D293" s="53"/>
      <c r="E293" s="58"/>
    </row>
    <row r="294" spans="1:5">
      <c r="A294" s="17" t="s">
        <v>298</v>
      </c>
      <c r="B294" s="32" t="s">
        <v>229</v>
      </c>
      <c r="C294" s="61">
        <v>37100</v>
      </c>
      <c r="D294" s="53"/>
      <c r="E294" s="58"/>
    </row>
    <row r="295" spans="1:5">
      <c r="A295" s="17" t="s">
        <v>299</v>
      </c>
      <c r="B295" s="32" t="s">
        <v>230</v>
      </c>
      <c r="C295" s="61">
        <v>49000</v>
      </c>
      <c r="D295" s="53"/>
      <c r="E295" s="58"/>
    </row>
    <row r="296" spans="1:5" ht="15.6">
      <c r="A296" s="17"/>
      <c r="B296" s="29" t="s">
        <v>231</v>
      </c>
      <c r="C296" s="61"/>
      <c r="D296" s="53"/>
      <c r="E296" s="58"/>
    </row>
    <row r="297" spans="1:5">
      <c r="A297" s="17" t="s">
        <v>300</v>
      </c>
      <c r="B297" s="17" t="s">
        <v>232</v>
      </c>
      <c r="C297" s="61">
        <v>14350</v>
      </c>
      <c r="D297" s="53"/>
      <c r="E297" s="58"/>
    </row>
    <row r="298" spans="1:5">
      <c r="A298" s="17" t="s">
        <v>301</v>
      </c>
      <c r="B298" s="17" t="s">
        <v>233</v>
      </c>
      <c r="C298" s="61">
        <v>14350</v>
      </c>
      <c r="D298" s="53"/>
      <c r="E298" s="58"/>
    </row>
    <row r="299" spans="1:5">
      <c r="A299" s="17" t="s">
        <v>302</v>
      </c>
      <c r="B299" s="17" t="s">
        <v>303</v>
      </c>
      <c r="C299" s="61">
        <v>49000</v>
      </c>
      <c r="D299" s="53"/>
      <c r="E299" s="58"/>
    </row>
    <row r="300" spans="1:5">
      <c r="A300" s="17" t="s">
        <v>304</v>
      </c>
      <c r="B300" s="32" t="s">
        <v>234</v>
      </c>
      <c r="C300" s="61">
        <v>51800</v>
      </c>
      <c r="D300" s="53"/>
      <c r="E300" s="58"/>
    </row>
    <row r="301" spans="1:5">
      <c r="A301" s="17" t="s">
        <v>305</v>
      </c>
      <c r="B301" s="17" t="s">
        <v>235</v>
      </c>
      <c r="C301" s="61">
        <v>72800</v>
      </c>
      <c r="D301" s="53"/>
      <c r="E301" s="58"/>
    </row>
    <row r="302" spans="1:5" ht="28.8">
      <c r="A302" s="17" t="s">
        <v>306</v>
      </c>
      <c r="B302" s="17" t="s">
        <v>236</v>
      </c>
      <c r="C302" s="61">
        <v>21000</v>
      </c>
      <c r="D302" s="53"/>
      <c r="E302" s="58"/>
    </row>
    <row r="303" spans="1:5" ht="28.8">
      <c r="A303" s="17" t="s">
        <v>307</v>
      </c>
      <c r="B303" s="17" t="s">
        <v>237</v>
      </c>
      <c r="C303" s="61">
        <v>4900</v>
      </c>
      <c r="D303" s="53"/>
      <c r="E303" s="58"/>
    </row>
    <row r="304" spans="1:5">
      <c r="A304" s="17" t="s">
        <v>308</v>
      </c>
      <c r="B304" s="17" t="s">
        <v>238</v>
      </c>
      <c r="C304" s="61">
        <v>3500</v>
      </c>
      <c r="D304" s="53"/>
      <c r="E304" s="58"/>
    </row>
    <row r="305" spans="1:5">
      <c r="A305" s="17" t="s">
        <v>308</v>
      </c>
      <c r="B305" s="17" t="s">
        <v>239</v>
      </c>
      <c r="C305" s="61">
        <v>3500</v>
      </c>
      <c r="D305" s="53"/>
      <c r="E305" s="58"/>
    </row>
    <row r="306" spans="1:5">
      <c r="A306" s="17" t="s">
        <v>308</v>
      </c>
      <c r="B306" s="17" t="s">
        <v>240</v>
      </c>
      <c r="C306" s="61">
        <v>3500</v>
      </c>
      <c r="D306" s="53"/>
      <c r="E306" s="58"/>
    </row>
    <row r="307" spans="1:5">
      <c r="A307" s="17"/>
      <c r="B307" s="33" t="s">
        <v>241</v>
      </c>
      <c r="C307" s="61"/>
      <c r="D307" s="53"/>
      <c r="E307" s="58"/>
    </row>
    <row r="308" spans="1:5">
      <c r="A308" s="17" t="s">
        <v>309</v>
      </c>
      <c r="B308" s="32" t="s">
        <v>242</v>
      </c>
      <c r="C308" s="61">
        <v>18200</v>
      </c>
      <c r="D308" s="53"/>
      <c r="E308" s="58"/>
    </row>
    <row r="309" spans="1:5">
      <c r="A309" s="18"/>
      <c r="B309" s="34" t="s">
        <v>278</v>
      </c>
      <c r="C309" s="64"/>
      <c r="D309" s="64"/>
      <c r="E309" s="58"/>
    </row>
    <row r="310" spans="1:5">
      <c r="A310" s="17" t="s">
        <v>310</v>
      </c>
      <c r="B310" s="14" t="s">
        <v>243</v>
      </c>
      <c r="C310" s="61">
        <v>98000</v>
      </c>
      <c r="D310" s="53"/>
      <c r="E310" s="58"/>
    </row>
    <row r="311" spans="1:5" ht="28.8">
      <c r="A311" s="17" t="s">
        <v>325</v>
      </c>
      <c r="B311" s="17" t="s">
        <v>244</v>
      </c>
      <c r="C311" s="61">
        <v>195200</v>
      </c>
      <c r="D311" s="53"/>
      <c r="E311" s="58"/>
    </row>
    <row r="312" spans="1:5" ht="28.8">
      <c r="A312" s="17" t="s">
        <v>311</v>
      </c>
      <c r="B312" s="17" t="s">
        <v>245</v>
      </c>
      <c r="C312" s="61">
        <v>245000</v>
      </c>
      <c r="D312" s="53"/>
      <c r="E312" s="58"/>
    </row>
    <row r="313" spans="1:5" ht="28.8">
      <c r="A313" s="17" t="s">
        <v>324</v>
      </c>
      <c r="B313" s="17" t="s">
        <v>246</v>
      </c>
      <c r="C313" s="61">
        <v>294000</v>
      </c>
      <c r="D313" s="53"/>
      <c r="E313" s="58"/>
    </row>
    <row r="314" spans="1:5" ht="28.8">
      <c r="A314" s="17" t="s">
        <v>312</v>
      </c>
      <c r="B314" s="17" t="s">
        <v>247</v>
      </c>
      <c r="C314" s="61">
        <v>392000</v>
      </c>
      <c r="D314" s="53"/>
      <c r="E314" s="58"/>
    </row>
    <row r="315" spans="1:5">
      <c r="A315" s="17" t="s">
        <v>313</v>
      </c>
      <c r="B315" s="17" t="s">
        <v>248</v>
      </c>
      <c r="C315" s="61">
        <v>637000</v>
      </c>
      <c r="D315" s="53"/>
      <c r="E315" s="58"/>
    </row>
    <row r="316" spans="1:5">
      <c r="A316" s="17" t="s">
        <v>314</v>
      </c>
      <c r="B316" s="17" t="s">
        <v>249</v>
      </c>
      <c r="C316" s="61">
        <v>500500</v>
      </c>
      <c r="D316" s="53"/>
      <c r="E316" s="58"/>
    </row>
    <row r="317" spans="1:5" ht="28.8">
      <c r="A317" s="17" t="s">
        <v>315</v>
      </c>
      <c r="B317" s="17" t="s">
        <v>250</v>
      </c>
      <c r="C317" s="61">
        <v>920500</v>
      </c>
      <c r="D317" s="53"/>
      <c r="E317" s="58"/>
    </row>
    <row r="318" spans="1:5">
      <c r="A318" s="17" t="s">
        <v>316</v>
      </c>
      <c r="B318" s="17" t="s">
        <v>251</v>
      </c>
      <c r="C318" s="61">
        <v>1207500</v>
      </c>
      <c r="D318" s="53"/>
      <c r="E318" s="58"/>
    </row>
    <row r="319" spans="1:5">
      <c r="A319" s="17" t="s">
        <v>317</v>
      </c>
      <c r="B319" s="17" t="s">
        <v>252</v>
      </c>
      <c r="C319" s="61">
        <v>315000</v>
      </c>
      <c r="D319" s="53"/>
      <c r="E319" s="58"/>
    </row>
    <row r="320" spans="1:5">
      <c r="A320" s="17" t="s">
        <v>318</v>
      </c>
      <c r="B320" s="17" t="s">
        <v>253</v>
      </c>
      <c r="C320" s="61">
        <v>59500</v>
      </c>
      <c r="D320" s="53"/>
      <c r="E320" s="58"/>
    </row>
    <row r="321" spans="1:5">
      <c r="A321" s="17" t="s">
        <v>319</v>
      </c>
      <c r="B321" s="17" t="s">
        <v>254</v>
      </c>
      <c r="C321" s="61">
        <v>66500</v>
      </c>
      <c r="D321" s="53"/>
      <c r="E321" s="58"/>
    </row>
    <row r="322" spans="1:5">
      <c r="A322" s="17" t="s">
        <v>323</v>
      </c>
      <c r="B322" s="17" t="s">
        <v>255</v>
      </c>
      <c r="C322" s="61">
        <v>28700</v>
      </c>
      <c r="D322" s="53"/>
      <c r="E322" s="58"/>
    </row>
    <row r="323" spans="1:5">
      <c r="A323" s="17" t="s">
        <v>320</v>
      </c>
      <c r="B323" s="17" t="s">
        <v>256</v>
      </c>
      <c r="C323" s="61">
        <v>28700</v>
      </c>
      <c r="D323" s="53"/>
      <c r="E323" s="58"/>
    </row>
    <row r="324" spans="1:5">
      <c r="A324" s="17" t="s">
        <v>321</v>
      </c>
      <c r="B324" s="17" t="s">
        <v>257</v>
      </c>
      <c r="C324" s="61">
        <v>32200</v>
      </c>
      <c r="D324" s="53"/>
      <c r="E324" s="58"/>
    </row>
    <row r="325" spans="1:5">
      <c r="A325" s="17" t="s">
        <v>322</v>
      </c>
      <c r="B325" s="17" t="s">
        <v>258</v>
      </c>
      <c r="C325" s="61">
        <v>91700</v>
      </c>
      <c r="D325" s="53"/>
      <c r="E325" s="58"/>
    </row>
    <row r="326" spans="1:5">
      <c r="A326" s="17" t="s">
        <v>326</v>
      </c>
      <c r="B326" s="17" t="s">
        <v>259</v>
      </c>
      <c r="C326" s="61">
        <v>98000</v>
      </c>
      <c r="D326" s="53"/>
      <c r="E326" s="58"/>
    </row>
    <row r="327" spans="1:5">
      <c r="A327" s="17" t="s">
        <v>327</v>
      </c>
      <c r="B327" s="17" t="s">
        <v>260</v>
      </c>
      <c r="C327" s="61">
        <v>24500</v>
      </c>
      <c r="D327" s="53"/>
      <c r="E327" s="58"/>
    </row>
    <row r="328" spans="1:5">
      <c r="A328" s="17" t="s">
        <v>328</v>
      </c>
      <c r="B328" s="17" t="s">
        <v>261</v>
      </c>
      <c r="C328" s="61">
        <v>255500</v>
      </c>
      <c r="D328" s="53"/>
      <c r="E328" s="58"/>
    </row>
    <row r="329" spans="1:5">
      <c r="A329" s="17"/>
      <c r="B329" s="33" t="s">
        <v>262</v>
      </c>
      <c r="C329" s="61"/>
      <c r="D329" s="53"/>
      <c r="E329" s="58"/>
    </row>
    <row r="330" spans="1:5">
      <c r="A330" s="17" t="s">
        <v>329</v>
      </c>
      <c r="B330" s="32" t="s">
        <v>263</v>
      </c>
      <c r="C330" s="61">
        <v>153000</v>
      </c>
      <c r="D330" s="53"/>
      <c r="E330" s="58"/>
    </row>
    <row r="331" spans="1:5">
      <c r="A331" s="17" t="s">
        <v>329</v>
      </c>
      <c r="B331" s="17" t="s">
        <v>264</v>
      </c>
      <c r="C331" s="61">
        <v>225000</v>
      </c>
      <c r="D331" s="53"/>
      <c r="E331" s="58"/>
    </row>
    <row r="332" spans="1:5">
      <c r="A332" s="17" t="s">
        <v>329</v>
      </c>
      <c r="B332" s="17" t="s">
        <v>265</v>
      </c>
      <c r="C332" s="61">
        <v>299700</v>
      </c>
      <c r="D332" s="53"/>
      <c r="E332" s="58"/>
    </row>
    <row r="333" spans="1:5">
      <c r="A333" s="17" t="s">
        <v>329</v>
      </c>
      <c r="B333" s="17" t="s">
        <v>266</v>
      </c>
      <c r="C333" s="61">
        <v>51500</v>
      </c>
      <c r="D333" s="53"/>
      <c r="E333" s="58"/>
    </row>
    <row r="334" spans="1:5">
      <c r="A334" s="17" t="s">
        <v>329</v>
      </c>
      <c r="B334" s="17" t="s">
        <v>267</v>
      </c>
      <c r="C334" s="61">
        <v>101400</v>
      </c>
      <c r="D334" s="53"/>
      <c r="E334" s="58"/>
    </row>
    <row r="335" spans="1:5">
      <c r="A335" s="17" t="s">
        <v>329</v>
      </c>
      <c r="B335" s="17" t="s">
        <v>268</v>
      </c>
      <c r="C335" s="61">
        <v>151300</v>
      </c>
      <c r="D335" s="53"/>
      <c r="E335" s="58"/>
    </row>
    <row r="336" spans="1:5">
      <c r="A336" s="17" t="s">
        <v>329</v>
      </c>
      <c r="B336" s="17" t="s">
        <v>269</v>
      </c>
      <c r="C336" s="61">
        <v>12800</v>
      </c>
      <c r="D336" s="53"/>
      <c r="E336" s="58"/>
    </row>
    <row r="337" spans="1:5">
      <c r="A337" s="17"/>
      <c r="B337" s="33" t="s">
        <v>270</v>
      </c>
      <c r="C337" s="61"/>
      <c r="D337" s="53"/>
      <c r="E337" s="58"/>
    </row>
    <row r="338" spans="1:5">
      <c r="A338" s="17" t="s">
        <v>330</v>
      </c>
      <c r="B338" s="17" t="s">
        <v>271</v>
      </c>
      <c r="C338" s="61">
        <v>73500</v>
      </c>
      <c r="D338" s="53"/>
      <c r="E338" s="58"/>
    </row>
    <row r="339" spans="1:5">
      <c r="A339" s="17" t="s">
        <v>331</v>
      </c>
      <c r="B339" s="17" t="s">
        <v>272</v>
      </c>
      <c r="C339" s="61">
        <v>140700</v>
      </c>
      <c r="D339" s="53"/>
      <c r="E339" s="58"/>
    </row>
    <row r="340" spans="1:5">
      <c r="A340" s="17" t="s">
        <v>332</v>
      </c>
      <c r="B340" s="17" t="s">
        <v>273</v>
      </c>
      <c r="C340" s="61">
        <v>217000</v>
      </c>
      <c r="D340" s="53"/>
      <c r="E340" s="58"/>
    </row>
    <row r="341" spans="1:5">
      <c r="A341" s="17" t="s">
        <v>333</v>
      </c>
      <c r="B341" s="17" t="s">
        <v>274</v>
      </c>
      <c r="C341" s="61">
        <v>353500</v>
      </c>
      <c r="D341" s="53"/>
      <c r="E341" s="58"/>
    </row>
    <row r="342" spans="1:5">
      <c r="A342" s="17" t="s">
        <v>334</v>
      </c>
      <c r="B342" s="17" t="s">
        <v>275</v>
      </c>
      <c r="C342" s="61">
        <v>353500</v>
      </c>
      <c r="D342" s="53"/>
      <c r="E342" s="58"/>
    </row>
    <row r="343" spans="1:5">
      <c r="A343" s="17" t="s">
        <v>335</v>
      </c>
      <c r="B343" s="17" t="s">
        <v>276</v>
      </c>
      <c r="C343" s="61">
        <v>280000</v>
      </c>
      <c r="D343" s="53"/>
      <c r="E343" s="58"/>
    </row>
    <row r="344" spans="1:5">
      <c r="A344" s="17" t="s">
        <v>336</v>
      </c>
      <c r="B344" s="17" t="s">
        <v>277</v>
      </c>
      <c r="C344" s="61">
        <v>294000</v>
      </c>
      <c r="D344" s="53"/>
      <c r="E344" s="58"/>
    </row>
    <row r="345" spans="1:5" ht="15.6">
      <c r="A345" s="19"/>
      <c r="B345" s="35" t="s">
        <v>557</v>
      </c>
      <c r="C345" s="65"/>
      <c r="D345" s="65"/>
    </row>
    <row r="346" spans="1:5">
      <c r="A346" s="17" t="s">
        <v>558</v>
      </c>
      <c r="B346" s="17" t="s">
        <v>807</v>
      </c>
      <c r="C346" s="61">
        <v>30000</v>
      </c>
      <c r="D346" s="53"/>
    </row>
    <row r="347" spans="1:5">
      <c r="A347" s="17" t="s">
        <v>559</v>
      </c>
      <c r="B347" s="17" t="s">
        <v>806</v>
      </c>
      <c r="C347" s="61">
        <v>25000</v>
      </c>
      <c r="D347" s="53"/>
    </row>
    <row r="348" spans="1:5">
      <c r="A348" s="17" t="s">
        <v>560</v>
      </c>
      <c r="B348" s="17" t="s">
        <v>808</v>
      </c>
      <c r="C348" s="61">
        <v>31500</v>
      </c>
      <c r="D348" s="53"/>
    </row>
    <row r="349" spans="1:5" ht="15.6">
      <c r="A349" s="17"/>
      <c r="B349" s="29" t="s">
        <v>561</v>
      </c>
      <c r="C349" s="61"/>
      <c r="D349" s="53"/>
    </row>
    <row r="350" spans="1:5">
      <c r="A350" s="17" t="s">
        <v>562</v>
      </c>
      <c r="B350" s="36" t="s">
        <v>747</v>
      </c>
      <c r="C350" s="61">
        <v>120000</v>
      </c>
      <c r="D350" s="53"/>
    </row>
    <row r="351" spans="1:5">
      <c r="A351" s="17" t="s">
        <v>563</v>
      </c>
      <c r="B351" s="36" t="s">
        <v>748</v>
      </c>
      <c r="C351" s="61">
        <v>132000</v>
      </c>
      <c r="D351" s="53"/>
    </row>
    <row r="352" spans="1:5">
      <c r="A352" s="17" t="s">
        <v>746</v>
      </c>
      <c r="B352" s="36" t="s">
        <v>749</v>
      </c>
      <c r="C352" s="61">
        <v>100300</v>
      </c>
      <c r="D352" s="53"/>
    </row>
    <row r="353" spans="1:4">
      <c r="A353" s="17" t="s">
        <v>564</v>
      </c>
      <c r="B353" s="37" t="s">
        <v>750</v>
      </c>
      <c r="C353" s="61">
        <v>84600</v>
      </c>
      <c r="D353" s="53"/>
    </row>
    <row r="354" spans="1:4">
      <c r="A354" s="17" t="s">
        <v>565</v>
      </c>
      <c r="B354" s="37" t="s">
        <v>751</v>
      </c>
      <c r="C354" s="61">
        <v>65800</v>
      </c>
      <c r="D354" s="53"/>
    </row>
    <row r="355" spans="1:4">
      <c r="A355" s="17" t="s">
        <v>566</v>
      </c>
      <c r="B355" s="37" t="s">
        <v>752</v>
      </c>
      <c r="C355" s="61">
        <v>43900</v>
      </c>
      <c r="D355" s="53"/>
    </row>
    <row r="356" spans="1:4">
      <c r="A356" s="17" t="s">
        <v>567</v>
      </c>
      <c r="B356" s="38" t="s">
        <v>753</v>
      </c>
      <c r="C356" s="61">
        <v>62700</v>
      </c>
      <c r="D356" s="53"/>
    </row>
    <row r="357" spans="1:4" ht="28.8">
      <c r="A357" s="17" t="s">
        <v>568</v>
      </c>
      <c r="B357" s="39" t="s">
        <v>754</v>
      </c>
      <c r="C357" s="61">
        <v>53300</v>
      </c>
      <c r="D357" s="53"/>
    </row>
    <row r="358" spans="1:4" ht="15.6">
      <c r="A358" s="17"/>
      <c r="B358" s="29" t="s">
        <v>569</v>
      </c>
      <c r="C358" s="61"/>
      <c r="D358" s="53"/>
    </row>
    <row r="359" spans="1:4">
      <c r="A359" s="17" t="s">
        <v>570</v>
      </c>
      <c r="B359" s="17" t="s">
        <v>888</v>
      </c>
      <c r="C359" s="61">
        <v>214000</v>
      </c>
      <c r="D359" s="53"/>
    </row>
    <row r="360" spans="1:4">
      <c r="A360" s="17" t="s">
        <v>571</v>
      </c>
      <c r="B360" s="17" t="s">
        <v>889</v>
      </c>
      <c r="C360" s="61">
        <v>226000</v>
      </c>
      <c r="D360" s="53"/>
    </row>
    <row r="361" spans="1:4" ht="28.8">
      <c r="A361" s="21" t="s">
        <v>572</v>
      </c>
      <c r="B361" s="37" t="s">
        <v>755</v>
      </c>
      <c r="C361" s="61">
        <v>552000</v>
      </c>
      <c r="D361" s="53"/>
    </row>
    <row r="362" spans="1:4">
      <c r="A362" s="21" t="s">
        <v>573</v>
      </c>
      <c r="B362" s="38" t="s">
        <v>756</v>
      </c>
      <c r="C362" s="61">
        <v>940000</v>
      </c>
      <c r="D362" s="53"/>
    </row>
    <row r="363" spans="1:4">
      <c r="A363" s="21" t="s">
        <v>574</v>
      </c>
      <c r="B363" s="37" t="s">
        <v>757</v>
      </c>
      <c r="C363" s="61">
        <v>1645000</v>
      </c>
      <c r="D363" s="53"/>
    </row>
    <row r="364" spans="1:4">
      <c r="A364" s="21" t="s">
        <v>575</v>
      </c>
      <c r="B364" s="37" t="s">
        <v>758</v>
      </c>
      <c r="C364" s="61">
        <v>4000</v>
      </c>
      <c r="D364" s="53"/>
    </row>
    <row r="365" spans="1:4">
      <c r="A365" s="21" t="s">
        <v>576</v>
      </c>
      <c r="B365" s="36" t="s">
        <v>759</v>
      </c>
      <c r="C365" s="61">
        <v>7000</v>
      </c>
      <c r="D365" s="53"/>
    </row>
    <row r="366" spans="1:4">
      <c r="A366" s="21" t="s">
        <v>577</v>
      </c>
      <c r="B366" s="36" t="s">
        <v>760</v>
      </c>
      <c r="C366" s="61">
        <v>94000</v>
      </c>
      <c r="D366" s="53"/>
    </row>
    <row r="367" spans="1:4" ht="28.8">
      <c r="A367" s="21" t="s">
        <v>578</v>
      </c>
      <c r="B367" s="37" t="s">
        <v>761</v>
      </c>
      <c r="C367" s="61">
        <v>38000</v>
      </c>
      <c r="D367" s="53"/>
    </row>
    <row r="368" spans="1:4">
      <c r="A368" s="21" t="s">
        <v>579</v>
      </c>
      <c r="B368" s="37" t="s">
        <v>762</v>
      </c>
      <c r="C368" s="61">
        <v>10000</v>
      </c>
      <c r="D368" s="53"/>
    </row>
    <row r="369" spans="1:4">
      <c r="A369" s="21" t="s">
        <v>580</v>
      </c>
      <c r="B369" s="38" t="s">
        <v>763</v>
      </c>
      <c r="C369" s="61">
        <v>120000</v>
      </c>
      <c r="D369" s="53"/>
    </row>
    <row r="370" spans="1:4" ht="28.8">
      <c r="A370" s="21" t="s">
        <v>581</v>
      </c>
      <c r="B370" s="38" t="s">
        <v>764</v>
      </c>
      <c r="C370" s="61">
        <v>239000</v>
      </c>
      <c r="D370" s="53"/>
    </row>
    <row r="371" spans="1:4">
      <c r="A371" s="21" t="s">
        <v>582</v>
      </c>
      <c r="B371" s="38" t="s">
        <v>766</v>
      </c>
      <c r="C371" s="61">
        <v>145000</v>
      </c>
      <c r="D371" s="53"/>
    </row>
    <row r="372" spans="1:4">
      <c r="A372" s="21" t="s">
        <v>583</v>
      </c>
      <c r="B372" s="37" t="s">
        <v>765</v>
      </c>
      <c r="C372" s="61">
        <v>207000</v>
      </c>
      <c r="D372" s="53"/>
    </row>
    <row r="373" spans="1:4">
      <c r="A373" s="21" t="s">
        <v>584</v>
      </c>
      <c r="B373" s="37" t="s">
        <v>767</v>
      </c>
      <c r="C373" s="61">
        <v>304000</v>
      </c>
      <c r="D373" s="53"/>
    </row>
    <row r="374" spans="1:4" ht="28.8">
      <c r="A374" s="9" t="s">
        <v>585</v>
      </c>
      <c r="B374" s="37" t="s">
        <v>768</v>
      </c>
      <c r="C374" s="61">
        <v>245000</v>
      </c>
      <c r="D374" s="53"/>
    </row>
    <row r="375" spans="1:4">
      <c r="A375" s="9" t="s">
        <v>586</v>
      </c>
      <c r="B375" s="38" t="s">
        <v>769</v>
      </c>
      <c r="C375" s="61">
        <v>470000</v>
      </c>
      <c r="D375" s="53"/>
    </row>
    <row r="376" spans="1:4" ht="28.8">
      <c r="A376" s="9" t="s">
        <v>587</v>
      </c>
      <c r="B376" s="37" t="s">
        <v>770</v>
      </c>
      <c r="C376" s="61">
        <v>552000</v>
      </c>
      <c r="D376" s="53"/>
    </row>
    <row r="377" spans="1:4">
      <c r="A377" s="9" t="s">
        <v>588</v>
      </c>
      <c r="B377" s="37" t="s">
        <v>771</v>
      </c>
      <c r="C377" s="61">
        <v>126000</v>
      </c>
      <c r="D377" s="53"/>
    </row>
    <row r="378" spans="1:4">
      <c r="A378" s="9" t="s">
        <v>589</v>
      </c>
      <c r="B378" s="38" t="s">
        <v>772</v>
      </c>
      <c r="C378" s="61">
        <v>251000</v>
      </c>
      <c r="D378" s="53"/>
    </row>
    <row r="379" spans="1:4">
      <c r="A379" s="9" t="s">
        <v>590</v>
      </c>
      <c r="B379" s="38" t="s">
        <v>773</v>
      </c>
      <c r="C379" s="61">
        <v>304000</v>
      </c>
      <c r="D379" s="53"/>
    </row>
    <row r="380" spans="1:4">
      <c r="A380" s="9" t="s">
        <v>591</v>
      </c>
      <c r="B380" s="36" t="s">
        <v>774</v>
      </c>
      <c r="C380" s="61">
        <v>266000</v>
      </c>
      <c r="D380" s="53"/>
    </row>
    <row r="381" spans="1:4">
      <c r="A381" s="9" t="s">
        <v>592</v>
      </c>
      <c r="B381" s="37" t="s">
        <v>775</v>
      </c>
      <c r="C381" s="61">
        <v>114000</v>
      </c>
      <c r="D381" s="53"/>
    </row>
    <row r="382" spans="1:4">
      <c r="A382" s="9" t="s">
        <v>593</v>
      </c>
      <c r="B382" s="36" t="s">
        <v>776</v>
      </c>
      <c r="C382" s="61">
        <v>28000</v>
      </c>
      <c r="D382" s="53"/>
    </row>
    <row r="383" spans="1:4">
      <c r="A383" s="9" t="s">
        <v>594</v>
      </c>
      <c r="B383" s="36" t="s">
        <v>777</v>
      </c>
      <c r="C383" s="61">
        <v>132000</v>
      </c>
      <c r="D383" s="53"/>
    </row>
    <row r="384" spans="1:4" ht="28.8">
      <c r="A384" s="9" t="s">
        <v>595</v>
      </c>
      <c r="B384" s="37" t="s">
        <v>778</v>
      </c>
      <c r="C384" s="61">
        <v>170000</v>
      </c>
      <c r="D384" s="53"/>
    </row>
    <row r="385" spans="1:4" ht="28.8">
      <c r="A385" s="9" t="s">
        <v>596</v>
      </c>
      <c r="B385" s="38" t="s">
        <v>779</v>
      </c>
      <c r="C385" s="61">
        <v>276000</v>
      </c>
      <c r="D385" s="53"/>
    </row>
    <row r="386" spans="1:4" ht="15.6">
      <c r="A386" s="10"/>
      <c r="B386" s="29" t="s">
        <v>597</v>
      </c>
      <c r="C386" s="61"/>
      <c r="D386" s="53"/>
    </row>
    <row r="387" spans="1:4">
      <c r="A387" s="9" t="s">
        <v>613</v>
      </c>
      <c r="B387" s="36" t="s">
        <v>780</v>
      </c>
      <c r="C387" s="61">
        <v>132000</v>
      </c>
      <c r="D387" s="53"/>
    </row>
    <row r="388" spans="1:4">
      <c r="A388" s="9" t="s">
        <v>614</v>
      </c>
      <c r="B388" s="36" t="s">
        <v>781</v>
      </c>
      <c r="C388" s="61">
        <v>132000</v>
      </c>
      <c r="D388" s="53"/>
    </row>
    <row r="389" spans="1:4" ht="28.8">
      <c r="A389" s="9" t="s">
        <v>615</v>
      </c>
      <c r="B389" s="36" t="s">
        <v>782</v>
      </c>
      <c r="C389" s="61">
        <v>138000</v>
      </c>
      <c r="D389" s="53"/>
    </row>
    <row r="390" spans="1:4">
      <c r="A390" s="9" t="s">
        <v>616</v>
      </c>
      <c r="B390" s="37" t="s">
        <v>783</v>
      </c>
      <c r="C390" s="61">
        <v>314000</v>
      </c>
      <c r="D390" s="53"/>
    </row>
    <row r="391" spans="1:4">
      <c r="A391" s="9" t="s">
        <v>598</v>
      </c>
      <c r="B391" s="36" t="s">
        <v>784</v>
      </c>
      <c r="C391" s="61">
        <v>101000</v>
      </c>
      <c r="D391" s="53"/>
    </row>
    <row r="392" spans="1:4" ht="28.8">
      <c r="A392" s="9" t="s">
        <v>599</v>
      </c>
      <c r="B392" s="37" t="s">
        <v>785</v>
      </c>
      <c r="C392" s="61">
        <v>63000</v>
      </c>
      <c r="D392" s="53"/>
    </row>
    <row r="393" spans="1:4">
      <c r="A393" s="9" t="s">
        <v>600</v>
      </c>
      <c r="B393" s="37" t="s">
        <v>786</v>
      </c>
      <c r="C393" s="61">
        <v>94000</v>
      </c>
      <c r="D393" s="53"/>
    </row>
    <row r="394" spans="1:4">
      <c r="A394" s="9" t="s">
        <v>601</v>
      </c>
      <c r="B394" s="36" t="s">
        <v>787</v>
      </c>
      <c r="C394" s="61">
        <v>116000</v>
      </c>
      <c r="D394" s="53"/>
    </row>
    <row r="395" spans="1:4">
      <c r="A395" s="9" t="s">
        <v>602</v>
      </c>
      <c r="B395" s="36" t="s">
        <v>788</v>
      </c>
      <c r="C395" s="61">
        <v>76000</v>
      </c>
      <c r="D395" s="53"/>
    </row>
    <row r="396" spans="1:4">
      <c r="A396" s="9" t="s">
        <v>603</v>
      </c>
      <c r="B396" s="37" t="s">
        <v>789</v>
      </c>
      <c r="C396" s="61">
        <v>38000</v>
      </c>
      <c r="D396" s="53"/>
    </row>
    <row r="397" spans="1:4">
      <c r="A397" s="9" t="s">
        <v>604</v>
      </c>
      <c r="B397" s="36" t="s">
        <v>790</v>
      </c>
      <c r="C397" s="61">
        <v>207000</v>
      </c>
      <c r="D397" s="53"/>
    </row>
    <row r="398" spans="1:4">
      <c r="A398" s="9" t="s">
        <v>605</v>
      </c>
      <c r="B398" s="36" t="s">
        <v>791</v>
      </c>
      <c r="C398" s="61">
        <v>132000</v>
      </c>
      <c r="D398" s="53"/>
    </row>
    <row r="399" spans="1:4">
      <c r="A399" s="9" t="s">
        <v>606</v>
      </c>
      <c r="B399" s="36" t="s">
        <v>792</v>
      </c>
      <c r="C399" s="61">
        <v>101000</v>
      </c>
      <c r="D399" s="53"/>
    </row>
    <row r="400" spans="1:4">
      <c r="A400" s="9" t="s">
        <v>607</v>
      </c>
      <c r="B400" s="36" t="s">
        <v>793</v>
      </c>
      <c r="C400" s="61">
        <v>140000</v>
      </c>
      <c r="D400" s="53"/>
    </row>
    <row r="401" spans="1:4">
      <c r="A401" s="9" t="s">
        <v>608</v>
      </c>
      <c r="B401" s="37" t="s">
        <v>794</v>
      </c>
      <c r="C401" s="61">
        <v>251000</v>
      </c>
      <c r="D401" s="53"/>
    </row>
    <row r="402" spans="1:4">
      <c r="A402" s="9" t="s">
        <v>609</v>
      </c>
      <c r="B402" s="37" t="s">
        <v>795</v>
      </c>
      <c r="C402" s="61">
        <v>220000</v>
      </c>
      <c r="D402" s="53"/>
    </row>
    <row r="403" spans="1:4">
      <c r="A403" s="9" t="s">
        <v>610</v>
      </c>
      <c r="B403" s="36" t="s">
        <v>796</v>
      </c>
      <c r="C403" s="61">
        <v>113000</v>
      </c>
      <c r="D403" s="53"/>
    </row>
    <row r="404" spans="1:4">
      <c r="A404" s="9" t="s">
        <v>611</v>
      </c>
      <c r="B404" s="37" t="s">
        <v>797</v>
      </c>
      <c r="C404" s="61">
        <v>220000</v>
      </c>
      <c r="D404" s="53"/>
    </row>
    <row r="405" spans="1:4">
      <c r="A405" s="9" t="s">
        <v>612</v>
      </c>
      <c r="B405" s="37" t="s">
        <v>798</v>
      </c>
      <c r="C405" s="61">
        <v>314000</v>
      </c>
      <c r="D405" s="53"/>
    </row>
    <row r="406" spans="1:4" ht="15.6">
      <c r="A406" s="17"/>
      <c r="B406" s="29" t="s">
        <v>617</v>
      </c>
      <c r="C406" s="61"/>
      <c r="D406" s="53"/>
    </row>
    <row r="407" spans="1:4">
      <c r="A407" s="9" t="s">
        <v>643</v>
      </c>
      <c r="B407" s="40" t="s">
        <v>618</v>
      </c>
      <c r="C407" s="61">
        <v>40000</v>
      </c>
      <c r="D407" s="53"/>
    </row>
    <row r="408" spans="1:4">
      <c r="A408" s="9" t="s">
        <v>644</v>
      </c>
      <c r="B408" s="40" t="s">
        <v>619</v>
      </c>
      <c r="C408" s="61">
        <v>113000</v>
      </c>
      <c r="D408" s="53"/>
    </row>
    <row r="409" spans="1:4">
      <c r="A409" s="11" t="s">
        <v>620</v>
      </c>
      <c r="B409" s="41" t="s">
        <v>620</v>
      </c>
      <c r="C409" s="61">
        <v>79000</v>
      </c>
      <c r="D409" s="53"/>
    </row>
    <row r="410" spans="1:4">
      <c r="A410" s="17"/>
      <c r="B410" s="42" t="s">
        <v>887</v>
      </c>
      <c r="C410" s="61"/>
      <c r="D410" s="53"/>
    </row>
    <row r="411" spans="1:4">
      <c r="A411" s="9" t="s">
        <v>621</v>
      </c>
      <c r="B411" s="38" t="s">
        <v>803</v>
      </c>
      <c r="C411" s="61">
        <v>28200</v>
      </c>
      <c r="D411" s="53"/>
    </row>
    <row r="412" spans="1:4">
      <c r="A412" s="9" t="s">
        <v>622</v>
      </c>
      <c r="B412" s="38" t="s">
        <v>804</v>
      </c>
      <c r="C412" s="61">
        <v>40733</v>
      </c>
      <c r="D412" s="53"/>
    </row>
    <row r="413" spans="1:4">
      <c r="A413" s="9" t="s">
        <v>623</v>
      </c>
      <c r="B413" s="38" t="s">
        <v>805</v>
      </c>
      <c r="C413" s="61">
        <v>28200</v>
      </c>
      <c r="D413" s="53"/>
    </row>
    <row r="414" spans="1:4">
      <c r="A414" s="9" t="s">
        <v>624</v>
      </c>
      <c r="B414" s="36" t="s">
        <v>799</v>
      </c>
      <c r="C414" s="61">
        <v>20421</v>
      </c>
      <c r="D414" s="53"/>
    </row>
    <row r="415" spans="1:4">
      <c r="A415" s="9" t="s">
        <v>625</v>
      </c>
      <c r="B415" s="36" t="s">
        <v>800</v>
      </c>
      <c r="C415" s="61">
        <v>32090</v>
      </c>
      <c r="D415" s="53"/>
    </row>
    <row r="416" spans="1:4">
      <c r="A416" s="9" t="s">
        <v>626</v>
      </c>
      <c r="B416" s="37" t="s">
        <v>801</v>
      </c>
      <c r="C416" s="61">
        <v>64179</v>
      </c>
      <c r="D416" s="53"/>
    </row>
    <row r="417" spans="1:4" ht="28.8">
      <c r="A417" s="9" t="s">
        <v>627</v>
      </c>
      <c r="B417" s="37" t="s">
        <v>802</v>
      </c>
      <c r="C417" s="61">
        <v>26255</v>
      </c>
      <c r="D417" s="53"/>
    </row>
    <row r="418" spans="1:4">
      <c r="A418" s="9" t="s">
        <v>628</v>
      </c>
      <c r="B418" s="37" t="s">
        <v>810</v>
      </c>
      <c r="C418" s="61">
        <v>21590</v>
      </c>
      <c r="D418" s="53"/>
    </row>
    <row r="419" spans="1:4">
      <c r="A419" s="9" t="s">
        <v>629</v>
      </c>
      <c r="B419" s="37" t="s">
        <v>809</v>
      </c>
      <c r="C419" s="61">
        <v>21590</v>
      </c>
      <c r="D419" s="53"/>
    </row>
    <row r="420" spans="1:4" ht="28.8">
      <c r="A420" s="9" t="s">
        <v>630</v>
      </c>
      <c r="B420" s="43" t="s">
        <v>630</v>
      </c>
      <c r="C420" s="61">
        <v>4670</v>
      </c>
      <c r="D420" s="53"/>
    </row>
    <row r="421" spans="1:4">
      <c r="A421" s="9" t="s">
        <v>631</v>
      </c>
      <c r="B421" s="37" t="s">
        <v>811</v>
      </c>
      <c r="C421" s="61">
        <v>32090</v>
      </c>
      <c r="D421" s="53"/>
    </row>
    <row r="422" spans="1:4">
      <c r="A422" s="9" t="s">
        <v>632</v>
      </c>
      <c r="B422" s="36" t="s">
        <v>812</v>
      </c>
      <c r="C422" s="61">
        <v>41425</v>
      </c>
      <c r="D422" s="53"/>
    </row>
    <row r="423" spans="1:4">
      <c r="A423" s="9" t="s">
        <v>633</v>
      </c>
      <c r="B423" s="36" t="s">
        <v>813</v>
      </c>
      <c r="C423" s="61">
        <v>72000</v>
      </c>
      <c r="D423" s="53"/>
    </row>
    <row r="424" spans="1:4">
      <c r="A424" s="9" t="s">
        <v>634</v>
      </c>
      <c r="B424" s="38" t="s">
        <v>814</v>
      </c>
      <c r="C424" s="61">
        <v>75848</v>
      </c>
      <c r="D424" s="53"/>
    </row>
    <row r="425" spans="1:4" ht="28.8">
      <c r="A425" s="9" t="s">
        <v>635</v>
      </c>
      <c r="B425" s="43" t="s">
        <v>635</v>
      </c>
      <c r="C425" s="61">
        <v>122524</v>
      </c>
      <c r="D425" s="53"/>
    </row>
    <row r="426" spans="1:4" ht="28.8">
      <c r="A426" s="9" t="s">
        <v>636</v>
      </c>
      <c r="B426" s="37" t="s">
        <v>815</v>
      </c>
      <c r="C426" s="61">
        <v>17547</v>
      </c>
      <c r="D426" s="53"/>
    </row>
    <row r="427" spans="1:4" ht="28.8">
      <c r="A427" s="9" t="s">
        <v>637</v>
      </c>
      <c r="B427" s="36" t="s">
        <v>816</v>
      </c>
      <c r="C427" s="61">
        <v>31334</v>
      </c>
      <c r="D427" s="53"/>
    </row>
    <row r="428" spans="1:4" ht="28.8">
      <c r="A428" s="9" t="s">
        <v>638</v>
      </c>
      <c r="B428" s="36" t="s">
        <v>817</v>
      </c>
      <c r="C428" s="61">
        <v>78960</v>
      </c>
      <c r="D428" s="53"/>
    </row>
    <row r="429" spans="1:4" ht="28.8">
      <c r="A429" s="9" t="s">
        <v>639</v>
      </c>
      <c r="B429" s="38" t="s">
        <v>818</v>
      </c>
      <c r="C429" s="61">
        <v>41360</v>
      </c>
      <c r="D429" s="53"/>
    </row>
    <row r="430" spans="1:4">
      <c r="A430" s="17"/>
      <c r="B430" s="42" t="s">
        <v>640</v>
      </c>
      <c r="C430" s="61"/>
      <c r="D430" s="53"/>
    </row>
    <row r="431" spans="1:4">
      <c r="A431" s="22" t="s">
        <v>641</v>
      </c>
      <c r="B431" s="37" t="s">
        <v>819</v>
      </c>
      <c r="C431" s="61">
        <v>20788</v>
      </c>
      <c r="D431" s="53"/>
    </row>
    <row r="432" spans="1:4">
      <c r="A432" s="9" t="s">
        <v>645</v>
      </c>
      <c r="B432" s="40" t="s">
        <v>642</v>
      </c>
      <c r="C432" s="61">
        <v>132000</v>
      </c>
      <c r="D432" s="53"/>
    </row>
    <row r="433" spans="1:4" ht="15.6">
      <c r="A433" s="48"/>
      <c r="B433" s="49" t="s">
        <v>820</v>
      </c>
      <c r="C433" s="66"/>
      <c r="D433" s="53"/>
    </row>
    <row r="434" spans="1:4">
      <c r="A434" s="154"/>
      <c r="B434" s="155" t="s">
        <v>821</v>
      </c>
      <c r="C434" s="156"/>
      <c r="D434" s="165"/>
    </row>
    <row r="435" spans="1:4" ht="28.8">
      <c r="A435" s="44" t="s">
        <v>822</v>
      </c>
      <c r="B435" s="157" t="s">
        <v>837</v>
      </c>
      <c r="C435" s="164">
        <f>D435*317.5</f>
        <v>18732.5</v>
      </c>
      <c r="D435" s="160">
        <v>59</v>
      </c>
    </row>
    <row r="436" spans="1:4" ht="28.8">
      <c r="A436" s="44" t="s">
        <v>2625</v>
      </c>
      <c r="B436" s="157" t="s">
        <v>2626</v>
      </c>
      <c r="C436" s="164">
        <f t="shared" ref="C436:C482" si="5">D436*317.5</f>
        <v>19685</v>
      </c>
      <c r="D436" s="160">
        <v>62</v>
      </c>
    </row>
    <row r="437" spans="1:4" ht="28.8">
      <c r="A437" s="44" t="s">
        <v>823</v>
      </c>
      <c r="B437" s="45" t="s">
        <v>838</v>
      </c>
      <c r="C437" s="164">
        <f t="shared" si="5"/>
        <v>20955</v>
      </c>
      <c r="D437" s="160">
        <v>66</v>
      </c>
    </row>
    <row r="438" spans="1:4" ht="28.8">
      <c r="A438" s="44" t="s">
        <v>824</v>
      </c>
      <c r="B438" s="45" t="s">
        <v>839</v>
      </c>
      <c r="C438" s="164">
        <f t="shared" si="5"/>
        <v>22225</v>
      </c>
      <c r="D438" s="160">
        <v>70</v>
      </c>
    </row>
    <row r="439" spans="1:4" ht="43.2">
      <c r="A439" s="44" t="s">
        <v>825</v>
      </c>
      <c r="B439" s="45" t="s">
        <v>840</v>
      </c>
      <c r="C439" s="164">
        <f t="shared" si="5"/>
        <v>30162.5</v>
      </c>
      <c r="D439" s="160">
        <v>95</v>
      </c>
    </row>
    <row r="440" spans="1:4" ht="43.2">
      <c r="A440" s="44" t="s">
        <v>826</v>
      </c>
      <c r="B440" s="45" t="s">
        <v>841</v>
      </c>
      <c r="C440" s="164">
        <f t="shared" si="5"/>
        <v>32385</v>
      </c>
      <c r="D440" s="160">
        <v>102</v>
      </c>
    </row>
    <row r="441" spans="1:4" ht="28.8">
      <c r="A441" s="158" t="s">
        <v>2627</v>
      </c>
      <c r="B441" s="159" t="s">
        <v>2628</v>
      </c>
      <c r="C441" s="164">
        <f t="shared" si="5"/>
        <v>34290</v>
      </c>
      <c r="D441" s="160">
        <v>108</v>
      </c>
    </row>
    <row r="442" spans="1:4" ht="28.8">
      <c r="A442" s="158" t="s">
        <v>2629</v>
      </c>
      <c r="B442" s="159" t="s">
        <v>2630</v>
      </c>
      <c r="C442" s="164">
        <f t="shared" si="5"/>
        <v>35877.5</v>
      </c>
      <c r="D442" s="160">
        <v>113</v>
      </c>
    </row>
    <row r="443" spans="1:4" ht="28.8">
      <c r="A443" s="158" t="s">
        <v>2631</v>
      </c>
      <c r="B443" s="159" t="s">
        <v>2632</v>
      </c>
      <c r="C443" s="164">
        <f t="shared" si="5"/>
        <v>38100</v>
      </c>
      <c r="D443" s="160">
        <v>120</v>
      </c>
    </row>
    <row r="444" spans="1:4" ht="28.8">
      <c r="A444" s="44" t="s">
        <v>827</v>
      </c>
      <c r="B444" s="45" t="s">
        <v>842</v>
      </c>
      <c r="C444" s="164">
        <f t="shared" si="5"/>
        <v>36195</v>
      </c>
      <c r="D444" s="160">
        <v>114</v>
      </c>
    </row>
    <row r="445" spans="1:4" ht="43.2">
      <c r="A445" s="161" t="s">
        <v>2633</v>
      </c>
      <c r="B445" s="159" t="s">
        <v>2634</v>
      </c>
      <c r="C445" s="164">
        <f t="shared" si="5"/>
        <v>40957.5</v>
      </c>
      <c r="D445" s="160">
        <v>129</v>
      </c>
    </row>
    <row r="446" spans="1:4" ht="43.2">
      <c r="A446" s="44" t="s">
        <v>828</v>
      </c>
      <c r="B446" s="45" t="s">
        <v>843</v>
      </c>
      <c r="C446" s="164">
        <f t="shared" si="5"/>
        <v>45085</v>
      </c>
      <c r="D446" s="160">
        <v>142</v>
      </c>
    </row>
    <row r="447" spans="1:4" ht="43.2">
      <c r="A447" s="44" t="s">
        <v>829</v>
      </c>
      <c r="B447" s="45" t="s">
        <v>844</v>
      </c>
      <c r="C447" s="164">
        <f t="shared" si="5"/>
        <v>54292.5</v>
      </c>
      <c r="D447" s="160">
        <v>171</v>
      </c>
    </row>
    <row r="448" spans="1:4" ht="43.2">
      <c r="A448" s="44" t="s">
        <v>830</v>
      </c>
      <c r="B448" s="45" t="s">
        <v>845</v>
      </c>
      <c r="C448" s="164">
        <f t="shared" si="5"/>
        <v>58420</v>
      </c>
      <c r="D448" s="160">
        <v>184</v>
      </c>
    </row>
    <row r="449" spans="1:4" ht="57.6">
      <c r="A449" s="44" t="s">
        <v>831</v>
      </c>
      <c r="B449" s="45" t="s">
        <v>846</v>
      </c>
      <c r="C449" s="164">
        <f t="shared" si="5"/>
        <v>157162.5</v>
      </c>
      <c r="D449" s="160">
        <v>495</v>
      </c>
    </row>
    <row r="450" spans="1:4">
      <c r="A450" s="44" t="s">
        <v>832</v>
      </c>
      <c r="B450" s="45" t="s">
        <v>847</v>
      </c>
      <c r="C450" s="164">
        <f t="shared" si="5"/>
        <v>42227.5</v>
      </c>
      <c r="D450" s="160">
        <v>133</v>
      </c>
    </row>
    <row r="451" spans="1:4" ht="43.2">
      <c r="A451" s="44" t="s">
        <v>833</v>
      </c>
      <c r="B451" s="45" t="s">
        <v>848</v>
      </c>
      <c r="C451" s="164">
        <f t="shared" si="5"/>
        <v>74612.5</v>
      </c>
      <c r="D451" s="160">
        <v>235</v>
      </c>
    </row>
    <row r="452" spans="1:4" ht="129.6">
      <c r="A452" s="44" t="s">
        <v>834</v>
      </c>
      <c r="B452" s="45" t="s">
        <v>849</v>
      </c>
      <c r="C452" s="164">
        <f t="shared" si="5"/>
        <v>100330</v>
      </c>
      <c r="D452" s="160">
        <v>316</v>
      </c>
    </row>
    <row r="453" spans="1:4">
      <c r="A453" s="44"/>
      <c r="B453" s="46" t="s">
        <v>850</v>
      </c>
      <c r="C453" s="164">
        <f t="shared" si="5"/>
        <v>0</v>
      </c>
      <c r="D453" s="160"/>
    </row>
    <row r="454" spans="1:4" ht="28.8">
      <c r="A454" s="44" t="s">
        <v>835</v>
      </c>
      <c r="B454" s="45" t="s">
        <v>2635</v>
      </c>
      <c r="C454" s="164">
        <f t="shared" si="5"/>
        <v>25400</v>
      </c>
      <c r="D454" s="160">
        <v>80</v>
      </c>
    </row>
    <row r="455" spans="1:4" ht="28.8">
      <c r="A455" s="44" t="s">
        <v>836</v>
      </c>
      <c r="B455" s="45" t="s">
        <v>851</v>
      </c>
      <c r="C455" s="164">
        <f t="shared" si="5"/>
        <v>22542.5</v>
      </c>
      <c r="D455" s="160">
        <v>71</v>
      </c>
    </row>
    <row r="456" spans="1:4">
      <c r="A456" s="162"/>
      <c r="B456" s="163" t="s">
        <v>2636</v>
      </c>
      <c r="C456" s="164">
        <f t="shared" si="5"/>
        <v>0</v>
      </c>
      <c r="D456" s="160"/>
    </row>
    <row r="457" spans="1:4" ht="100.8">
      <c r="A457" s="44" t="s">
        <v>2637</v>
      </c>
      <c r="B457" s="45" t="s">
        <v>2638</v>
      </c>
      <c r="C457" s="164">
        <f t="shared" si="5"/>
        <v>1371600</v>
      </c>
      <c r="D457" s="160">
        <v>4320</v>
      </c>
    </row>
    <row r="458" spans="1:4" ht="100.8">
      <c r="A458" s="44" t="s">
        <v>2639</v>
      </c>
      <c r="B458" s="45" t="s">
        <v>2640</v>
      </c>
      <c r="C458" s="164">
        <f t="shared" si="5"/>
        <v>1085850</v>
      </c>
      <c r="D458" s="160">
        <v>3420</v>
      </c>
    </row>
    <row r="459" spans="1:4">
      <c r="A459" s="47"/>
      <c r="B459" s="47" t="s">
        <v>852</v>
      </c>
      <c r="C459" s="164">
        <f t="shared" si="5"/>
        <v>0</v>
      </c>
      <c r="D459" s="160"/>
    </row>
    <row r="460" spans="1:4" ht="28.8">
      <c r="A460" s="44" t="s">
        <v>853</v>
      </c>
      <c r="B460" s="45" t="s">
        <v>854</v>
      </c>
      <c r="C460" s="164">
        <f t="shared" si="5"/>
        <v>13652.5</v>
      </c>
      <c r="D460" s="160">
        <v>43</v>
      </c>
    </row>
    <row r="461" spans="1:4" ht="28.8">
      <c r="A461" s="44" t="s">
        <v>855</v>
      </c>
      <c r="B461" s="45" t="s">
        <v>856</v>
      </c>
      <c r="C461" s="164">
        <f t="shared" si="5"/>
        <v>17462.5</v>
      </c>
      <c r="D461" s="160">
        <v>55</v>
      </c>
    </row>
    <row r="462" spans="1:4">
      <c r="A462" s="158" t="s">
        <v>2641</v>
      </c>
      <c r="B462" s="159" t="s">
        <v>2642</v>
      </c>
      <c r="C462" s="164">
        <f t="shared" si="5"/>
        <v>18097.5</v>
      </c>
      <c r="D462" s="160">
        <v>57</v>
      </c>
    </row>
    <row r="463" spans="1:4">
      <c r="A463" s="158" t="s">
        <v>2643</v>
      </c>
      <c r="B463" s="159" t="s">
        <v>2644</v>
      </c>
      <c r="C463" s="164">
        <f t="shared" si="5"/>
        <v>20637.5</v>
      </c>
      <c r="D463" s="160">
        <v>65</v>
      </c>
    </row>
    <row r="464" spans="1:4" ht="28.8">
      <c r="A464" s="44" t="s">
        <v>857</v>
      </c>
      <c r="B464" s="45" t="s">
        <v>858</v>
      </c>
      <c r="C464" s="164">
        <f t="shared" si="5"/>
        <v>40322.5</v>
      </c>
      <c r="D464" s="160">
        <v>127</v>
      </c>
    </row>
    <row r="465" spans="1:5">
      <c r="A465" s="44" t="s">
        <v>859</v>
      </c>
      <c r="B465" s="45" t="s">
        <v>860</v>
      </c>
      <c r="C465" s="164">
        <f t="shared" si="5"/>
        <v>23812.5</v>
      </c>
      <c r="D465" s="160">
        <v>75</v>
      </c>
    </row>
    <row r="466" spans="1:5">
      <c r="A466" s="158" t="s">
        <v>2645</v>
      </c>
      <c r="B466" s="159" t="s">
        <v>2646</v>
      </c>
      <c r="C466" s="164">
        <f t="shared" si="5"/>
        <v>45720</v>
      </c>
      <c r="D466" s="160">
        <v>144</v>
      </c>
    </row>
    <row r="467" spans="1:5" ht="28.8">
      <c r="A467" s="44" t="s">
        <v>861</v>
      </c>
      <c r="B467" s="45" t="s">
        <v>862</v>
      </c>
      <c r="C467" s="164">
        <f t="shared" si="5"/>
        <v>84772.5</v>
      </c>
      <c r="D467" s="160">
        <v>267</v>
      </c>
    </row>
    <row r="468" spans="1:5">
      <c r="A468" s="44" t="s">
        <v>863</v>
      </c>
      <c r="B468" s="45" t="s">
        <v>864</v>
      </c>
      <c r="C468" s="164">
        <f t="shared" si="5"/>
        <v>90487.5</v>
      </c>
      <c r="D468" s="160">
        <v>285</v>
      </c>
    </row>
    <row r="469" spans="1:5">
      <c r="A469" s="44" t="s">
        <v>865</v>
      </c>
      <c r="B469" s="45" t="s">
        <v>866</v>
      </c>
      <c r="C469" s="164">
        <f t="shared" si="5"/>
        <v>128905</v>
      </c>
      <c r="D469" s="160">
        <v>406</v>
      </c>
    </row>
    <row r="470" spans="1:5" ht="28.8">
      <c r="A470" s="44" t="s">
        <v>867</v>
      </c>
      <c r="B470" s="45" t="s">
        <v>868</v>
      </c>
      <c r="C470" s="164">
        <f t="shared" si="5"/>
        <v>173037.5</v>
      </c>
      <c r="D470" s="160">
        <v>545</v>
      </c>
      <c r="E470"/>
    </row>
    <row r="471" spans="1:5" ht="28.8">
      <c r="A471" s="44" t="s">
        <v>869</v>
      </c>
      <c r="B471" s="45" t="s">
        <v>870</v>
      </c>
      <c r="C471" s="164">
        <f t="shared" si="5"/>
        <v>223202.5</v>
      </c>
      <c r="D471" s="160">
        <v>703</v>
      </c>
      <c r="E471"/>
    </row>
    <row r="472" spans="1:5" ht="28.8">
      <c r="A472" s="44" t="s">
        <v>871</v>
      </c>
      <c r="B472" s="45" t="s">
        <v>872</v>
      </c>
      <c r="C472" s="164">
        <f t="shared" si="5"/>
        <v>282892.5</v>
      </c>
      <c r="D472" s="160">
        <v>891</v>
      </c>
      <c r="E472"/>
    </row>
    <row r="473" spans="1:5" ht="28.8">
      <c r="A473" s="44" t="s">
        <v>873</v>
      </c>
      <c r="B473" s="45" t="s">
        <v>874</v>
      </c>
      <c r="C473" s="164">
        <f t="shared" si="5"/>
        <v>386715</v>
      </c>
      <c r="D473" s="160">
        <v>1218</v>
      </c>
      <c r="E473"/>
    </row>
    <row r="474" spans="1:5">
      <c r="A474" s="44"/>
      <c r="B474" s="44" t="s">
        <v>875</v>
      </c>
      <c r="C474" s="164">
        <f t="shared" si="5"/>
        <v>0</v>
      </c>
      <c r="D474" s="160"/>
      <c r="E474"/>
    </row>
    <row r="475" spans="1:5" ht="43.2">
      <c r="A475" s="44" t="s">
        <v>876</v>
      </c>
      <c r="B475" s="45" t="s">
        <v>877</v>
      </c>
      <c r="C475" s="164">
        <f t="shared" si="5"/>
        <v>130492.5</v>
      </c>
      <c r="D475" s="160">
        <v>411</v>
      </c>
      <c r="E475"/>
    </row>
    <row r="476" spans="1:5">
      <c r="A476" s="158" t="s">
        <v>2647</v>
      </c>
      <c r="B476" s="159" t="s">
        <v>2648</v>
      </c>
      <c r="C476" s="164">
        <f t="shared" si="5"/>
        <v>133667.5</v>
      </c>
      <c r="D476" s="160">
        <v>421</v>
      </c>
      <c r="E476"/>
    </row>
    <row r="477" spans="1:5" ht="43.2">
      <c r="A477" s="44" t="s">
        <v>878</v>
      </c>
      <c r="B477" s="45" t="s">
        <v>879</v>
      </c>
      <c r="C477" s="164">
        <f t="shared" si="5"/>
        <v>166687.5</v>
      </c>
      <c r="D477" s="160">
        <v>525</v>
      </c>
      <c r="E477"/>
    </row>
    <row r="478" spans="1:5" ht="28.8">
      <c r="A478" s="158" t="s">
        <v>2649</v>
      </c>
      <c r="B478" s="159" t="s">
        <v>2650</v>
      </c>
      <c r="C478" s="164">
        <f t="shared" si="5"/>
        <v>173037.5</v>
      </c>
      <c r="D478" s="160">
        <v>545</v>
      </c>
      <c r="E478"/>
    </row>
    <row r="479" spans="1:5" ht="43.2">
      <c r="A479" s="44" t="s">
        <v>880</v>
      </c>
      <c r="B479" s="45" t="s">
        <v>881</v>
      </c>
      <c r="C479" s="164">
        <f t="shared" si="5"/>
        <v>276542.5</v>
      </c>
      <c r="D479" s="160">
        <v>871</v>
      </c>
      <c r="E479"/>
    </row>
    <row r="480" spans="1:5" ht="28.8">
      <c r="A480" s="158" t="s">
        <v>2651</v>
      </c>
      <c r="B480" s="159" t="s">
        <v>2652</v>
      </c>
      <c r="C480" s="164">
        <f t="shared" si="5"/>
        <v>285432.5</v>
      </c>
      <c r="D480" s="160">
        <v>899</v>
      </c>
      <c r="E480"/>
    </row>
    <row r="481" spans="1:5" ht="43.2">
      <c r="A481" s="44" t="s">
        <v>882</v>
      </c>
      <c r="B481" s="45" t="s">
        <v>883</v>
      </c>
      <c r="C481" s="164">
        <f t="shared" si="5"/>
        <v>502920</v>
      </c>
      <c r="D481" s="160">
        <v>1584</v>
      </c>
      <c r="E481"/>
    </row>
    <row r="482" spans="1:5" ht="43.2">
      <c r="A482" s="44" t="s">
        <v>884</v>
      </c>
      <c r="B482" s="45" t="s">
        <v>885</v>
      </c>
      <c r="C482" s="164">
        <f t="shared" si="5"/>
        <v>585787.5</v>
      </c>
      <c r="D482" s="160">
        <v>1845</v>
      </c>
      <c r="E482"/>
    </row>
    <row r="483" spans="1:5">
      <c r="A483" s="73"/>
      <c r="B483" s="76" t="s">
        <v>1677</v>
      </c>
      <c r="C483" s="74"/>
      <c r="D483" s="53"/>
      <c r="E483"/>
    </row>
    <row r="484" spans="1:5">
      <c r="A484" s="73"/>
      <c r="B484" s="76" t="s">
        <v>890</v>
      </c>
      <c r="C484" s="74"/>
      <c r="D484" s="53"/>
      <c r="E484"/>
    </row>
    <row r="485" spans="1:5">
      <c r="A485" s="17" t="s">
        <v>891</v>
      </c>
      <c r="B485" s="17" t="s">
        <v>892</v>
      </c>
      <c r="C485" s="56">
        <v>2247.507714507713</v>
      </c>
      <c r="D485" s="53"/>
      <c r="E485"/>
    </row>
    <row r="486" spans="1:5">
      <c r="A486" s="17" t="s">
        <v>893</v>
      </c>
      <c r="B486" s="17" t="s">
        <v>894</v>
      </c>
      <c r="C486" s="56">
        <v>3719.2962794780979</v>
      </c>
      <c r="D486" s="53"/>
      <c r="E486"/>
    </row>
    <row r="487" spans="1:5">
      <c r="A487" s="17" t="s">
        <v>895</v>
      </c>
      <c r="B487" s="17" t="s">
        <v>896</v>
      </c>
      <c r="C487" s="56">
        <v>4536.5718120263573</v>
      </c>
      <c r="D487" s="53"/>
      <c r="E487"/>
    </row>
    <row r="488" spans="1:5">
      <c r="A488" s="17" t="s">
        <v>897</v>
      </c>
      <c r="B488" s="17" t="s">
        <v>898</v>
      </c>
      <c r="C488" s="56">
        <v>38052.488869155539</v>
      </c>
      <c r="D488" s="53"/>
      <c r="E488"/>
    </row>
    <row r="489" spans="1:5">
      <c r="A489" s="17" t="s">
        <v>899</v>
      </c>
      <c r="B489" s="17" t="s">
        <v>900</v>
      </c>
      <c r="C489" s="56">
        <v>9692.6415559748893</v>
      </c>
      <c r="D489" s="53"/>
      <c r="E489"/>
    </row>
    <row r="490" spans="1:5" ht="28.8">
      <c r="A490" s="17" t="s">
        <v>901</v>
      </c>
      <c r="B490" s="17" t="s">
        <v>902</v>
      </c>
      <c r="C490" s="56">
        <v>9692.6415559748893</v>
      </c>
      <c r="D490" s="53"/>
      <c r="E490"/>
    </row>
    <row r="491" spans="1:5">
      <c r="A491" s="17" t="s">
        <v>903</v>
      </c>
      <c r="B491" s="17" t="s">
        <v>904</v>
      </c>
      <c r="C491" s="56">
        <v>2785.0472243805584</v>
      </c>
      <c r="D491" s="53"/>
      <c r="E491"/>
    </row>
    <row r="492" spans="1:5" ht="28.8">
      <c r="A492" s="17" t="s">
        <v>905</v>
      </c>
      <c r="B492" s="17" t="s">
        <v>906</v>
      </c>
      <c r="C492" s="56">
        <v>5852.5239407057588</v>
      </c>
      <c r="D492" s="53"/>
      <c r="E492"/>
    </row>
    <row r="493" spans="1:5">
      <c r="A493" s="17" t="s">
        <v>907</v>
      </c>
      <c r="B493" s="17" t="s">
        <v>908</v>
      </c>
      <c r="C493" s="56">
        <v>4065.5994712358352</v>
      </c>
      <c r="D493" s="53"/>
      <c r="E493"/>
    </row>
    <row r="494" spans="1:5" ht="28.8">
      <c r="A494" s="17" t="s">
        <v>909</v>
      </c>
      <c r="B494" s="17" t="s">
        <v>910</v>
      </c>
      <c r="C494" s="56">
        <v>6198.8271324634961</v>
      </c>
      <c r="D494" s="53"/>
      <c r="E494"/>
    </row>
    <row r="495" spans="1:5" ht="28.8">
      <c r="A495" s="17" t="s">
        <v>911</v>
      </c>
      <c r="B495" s="17" t="s">
        <v>912</v>
      </c>
      <c r="C495" s="56">
        <v>6198.8271324634961</v>
      </c>
      <c r="D495" s="53"/>
      <c r="E495"/>
    </row>
    <row r="496" spans="1:5">
      <c r="A496" s="17" t="s">
        <v>913</v>
      </c>
      <c r="B496" s="17" t="s">
        <v>914</v>
      </c>
      <c r="C496" s="56">
        <v>4924.4313867950232</v>
      </c>
      <c r="D496" s="53"/>
      <c r="E496"/>
    </row>
    <row r="497" spans="1:5">
      <c r="A497" s="17" t="s">
        <v>915</v>
      </c>
      <c r="B497" s="17" t="s">
        <v>916</v>
      </c>
      <c r="C497" s="56">
        <v>5855.9869726233355</v>
      </c>
      <c r="D497" s="53"/>
      <c r="E497"/>
    </row>
    <row r="498" spans="1:5">
      <c r="A498" s="17" t="s">
        <v>917</v>
      </c>
      <c r="B498" s="17" t="s">
        <v>918</v>
      </c>
      <c r="C498" s="56">
        <v>4024.929083262416</v>
      </c>
      <c r="D498" s="53"/>
      <c r="E498"/>
    </row>
    <row r="499" spans="1:5">
      <c r="A499" s="17" t="s">
        <v>919</v>
      </c>
      <c r="B499" s="17" t="s">
        <v>920</v>
      </c>
      <c r="C499" s="56">
        <v>3780.6095756095751</v>
      </c>
      <c r="D499" s="53"/>
      <c r="E499"/>
    </row>
    <row r="500" spans="1:5" ht="28.8">
      <c r="A500" s="17" t="s">
        <v>921</v>
      </c>
      <c r="B500" s="17" t="s">
        <v>922</v>
      </c>
      <c r="C500" s="56">
        <v>90746.827493494158</v>
      </c>
      <c r="D500" s="53"/>
      <c r="E500"/>
    </row>
    <row r="501" spans="1:5">
      <c r="A501" s="17"/>
      <c r="B501" s="17" t="s">
        <v>923</v>
      </c>
      <c r="C501" s="56">
        <v>0</v>
      </c>
      <c r="D501" s="53"/>
      <c r="E501"/>
    </row>
    <row r="502" spans="1:5" ht="28.8">
      <c r="A502" s="17" t="s">
        <v>924</v>
      </c>
      <c r="B502" s="17" t="s">
        <v>925</v>
      </c>
      <c r="C502" s="56">
        <v>30813.288439955108</v>
      </c>
      <c r="D502" s="53"/>
      <c r="E502"/>
    </row>
    <row r="503" spans="1:5">
      <c r="A503" s="17" t="s">
        <v>926</v>
      </c>
      <c r="B503" s="17" t="s">
        <v>927</v>
      </c>
      <c r="C503" s="56">
        <v>28548.850347183678</v>
      </c>
      <c r="D503" s="53"/>
      <c r="E503"/>
    </row>
    <row r="504" spans="1:5" ht="28.8">
      <c r="A504" s="17" t="s">
        <v>928</v>
      </c>
      <c r="B504" s="17" t="s">
        <v>929</v>
      </c>
      <c r="C504" s="56">
        <v>24667.561130227798</v>
      </c>
      <c r="D504" s="53"/>
      <c r="E504"/>
    </row>
    <row r="505" spans="1:5" ht="28.8">
      <c r="A505" s="17" t="s">
        <v>930</v>
      </c>
      <c r="B505" s="17" t="s">
        <v>931</v>
      </c>
      <c r="C505" s="56">
        <v>47362.733192733191</v>
      </c>
      <c r="D505" s="53"/>
      <c r="E505"/>
    </row>
    <row r="506" spans="1:5" ht="28.8">
      <c r="A506" s="17" t="s">
        <v>932</v>
      </c>
      <c r="B506" s="17" t="s">
        <v>933</v>
      </c>
      <c r="C506" s="56">
        <v>51806.957486957494</v>
      </c>
      <c r="D506" s="53"/>
      <c r="E506"/>
    </row>
    <row r="507" spans="1:5" ht="28.8">
      <c r="A507" s="17" t="s">
        <v>934</v>
      </c>
      <c r="B507" s="17" t="s">
        <v>935</v>
      </c>
      <c r="C507" s="56">
        <v>58282.827172827172</v>
      </c>
      <c r="D507" s="53"/>
      <c r="E507"/>
    </row>
    <row r="508" spans="1:5" ht="28.8">
      <c r="A508" s="17" t="s">
        <v>936</v>
      </c>
      <c r="B508" s="17" t="s">
        <v>937</v>
      </c>
      <c r="C508" s="56">
        <v>60187.494727494726</v>
      </c>
      <c r="D508" s="53"/>
      <c r="E508"/>
    </row>
    <row r="509" spans="1:5" ht="28.8">
      <c r="A509" s="17" t="s">
        <v>938</v>
      </c>
      <c r="B509" s="17" t="s">
        <v>939</v>
      </c>
      <c r="C509" s="56">
        <v>90492.871819538486</v>
      </c>
      <c r="D509" s="53"/>
      <c r="E509"/>
    </row>
    <row r="510" spans="1:5">
      <c r="A510" s="17" t="s">
        <v>940</v>
      </c>
      <c r="B510" s="17" t="s">
        <v>941</v>
      </c>
      <c r="C510" s="56">
        <v>9796.3401228401217</v>
      </c>
      <c r="D510" s="53"/>
      <c r="E510"/>
    </row>
    <row r="511" spans="1:5">
      <c r="A511" s="17" t="s">
        <v>942</v>
      </c>
      <c r="B511" s="17" t="s">
        <v>943</v>
      </c>
      <c r="C511" s="56">
        <v>12655.457752124419</v>
      </c>
      <c r="D511" s="53"/>
      <c r="E511"/>
    </row>
    <row r="512" spans="1:5">
      <c r="A512" s="17" t="s">
        <v>944</v>
      </c>
      <c r="B512" s="17" t="s">
        <v>945</v>
      </c>
      <c r="C512" s="56">
        <v>15609.808759142088</v>
      </c>
      <c r="D512" s="53"/>
      <c r="E512"/>
    </row>
    <row r="513" spans="1:5" ht="28.8">
      <c r="A513" s="17" t="s">
        <v>946</v>
      </c>
      <c r="B513" s="17" t="s">
        <v>947</v>
      </c>
      <c r="C513" s="56">
        <v>7195.4107620774275</v>
      </c>
      <c r="D513" s="53"/>
      <c r="E513"/>
    </row>
    <row r="514" spans="1:5">
      <c r="A514" s="17" t="s">
        <v>948</v>
      </c>
      <c r="B514" s="17" t="s">
        <v>949</v>
      </c>
      <c r="C514" s="56">
        <v>9070.4501547834861</v>
      </c>
      <c r="D514" s="53"/>
      <c r="E514"/>
    </row>
    <row r="515" spans="1:5" ht="28.8">
      <c r="A515" s="17" t="s">
        <v>950</v>
      </c>
      <c r="B515" s="17" t="s">
        <v>951</v>
      </c>
      <c r="C515" s="56">
        <v>11546.51797585131</v>
      </c>
      <c r="D515" s="53"/>
      <c r="E515"/>
    </row>
    <row r="516" spans="1:5" ht="28.8">
      <c r="A516" s="17" t="s">
        <v>952</v>
      </c>
      <c r="B516" s="17" t="s">
        <v>953</v>
      </c>
      <c r="C516" s="56">
        <v>47024.125627458954</v>
      </c>
      <c r="D516" s="53"/>
      <c r="E516"/>
    </row>
    <row r="517" spans="1:5" ht="28.8">
      <c r="A517" s="17" t="s">
        <v>954</v>
      </c>
      <c r="B517" s="17" t="s">
        <v>955</v>
      </c>
      <c r="C517" s="56">
        <v>28464.198455865117</v>
      </c>
      <c r="D517" s="53"/>
      <c r="E517"/>
    </row>
    <row r="518" spans="1:5" ht="28.8">
      <c r="A518" s="17" t="s">
        <v>956</v>
      </c>
      <c r="B518" s="17" t="s">
        <v>957</v>
      </c>
      <c r="C518" s="56">
        <v>47362.733192733191</v>
      </c>
      <c r="D518" s="53"/>
      <c r="E518"/>
    </row>
    <row r="519" spans="1:5" ht="28.8">
      <c r="A519" s="17" t="s">
        <v>958</v>
      </c>
      <c r="B519" s="17" t="s">
        <v>959</v>
      </c>
      <c r="C519" s="56">
        <v>6488.5674695674707</v>
      </c>
      <c r="D519" s="53"/>
      <c r="E519"/>
    </row>
    <row r="520" spans="1:5" ht="28.8">
      <c r="A520" s="17" t="s">
        <v>960</v>
      </c>
      <c r="B520" s="17" t="s">
        <v>961</v>
      </c>
      <c r="C520" s="56">
        <v>10052.41209407876</v>
      </c>
      <c r="D520" s="53"/>
      <c r="E520"/>
    </row>
    <row r="521" spans="1:5" ht="28.8">
      <c r="A521" s="17" t="s">
        <v>962</v>
      </c>
      <c r="B521" s="17" t="s">
        <v>963</v>
      </c>
      <c r="C521" s="56">
        <v>9798.4564201230878</v>
      </c>
      <c r="D521" s="53"/>
      <c r="E521"/>
    </row>
    <row r="522" spans="1:5">
      <c r="A522" s="17" t="s">
        <v>964</v>
      </c>
      <c r="B522" s="17" t="s">
        <v>965</v>
      </c>
      <c r="C522" s="56">
        <v>17819.223122556454</v>
      </c>
      <c r="D522" s="53"/>
      <c r="E522"/>
    </row>
    <row r="523" spans="1:5" ht="28.8">
      <c r="A523" s="17" t="s">
        <v>966</v>
      </c>
      <c r="B523" s="17" t="s">
        <v>967</v>
      </c>
      <c r="C523" s="56">
        <v>14814.080980747649</v>
      </c>
      <c r="D523" s="53"/>
      <c r="E523"/>
    </row>
    <row r="524" spans="1:5" ht="28.8">
      <c r="A524" s="17" t="s">
        <v>968</v>
      </c>
      <c r="B524" s="17" t="s">
        <v>969</v>
      </c>
      <c r="C524" s="56">
        <v>18056.248418248419</v>
      </c>
      <c r="D524" s="53"/>
      <c r="E524"/>
    </row>
    <row r="525" spans="1:5" ht="28.8">
      <c r="A525" s="17" t="s">
        <v>970</v>
      </c>
      <c r="B525" s="17" t="s">
        <v>971</v>
      </c>
      <c r="C525" s="56">
        <v>19089.001492334824</v>
      </c>
      <c r="D525" s="53"/>
      <c r="E525"/>
    </row>
    <row r="526" spans="1:5" ht="28.8">
      <c r="A526" s="17" t="s">
        <v>972</v>
      </c>
      <c r="B526" s="17" t="s">
        <v>973</v>
      </c>
      <c r="C526" s="56">
        <v>41733.382420049085</v>
      </c>
      <c r="D526" s="53"/>
      <c r="E526"/>
    </row>
    <row r="527" spans="1:5" ht="28.8">
      <c r="A527" s="17" t="s">
        <v>974</v>
      </c>
      <c r="B527" s="17" t="s">
        <v>975</v>
      </c>
      <c r="C527" s="56">
        <v>52357.194780528116</v>
      </c>
      <c r="D527" s="53"/>
      <c r="E527"/>
    </row>
    <row r="528" spans="1:5" ht="28.8">
      <c r="A528" s="17" t="s">
        <v>976</v>
      </c>
      <c r="B528" s="17" t="s">
        <v>977</v>
      </c>
      <c r="C528" s="56">
        <v>82450.942144275468</v>
      </c>
      <c r="D528" s="53"/>
      <c r="E528"/>
    </row>
    <row r="529" spans="1:5" ht="28.8">
      <c r="A529" s="17" t="s">
        <v>978</v>
      </c>
      <c r="B529" s="17" t="s">
        <v>979</v>
      </c>
      <c r="C529" s="56">
        <v>36781.246777913446</v>
      </c>
      <c r="D529" s="53"/>
      <c r="E529"/>
    </row>
    <row r="530" spans="1:5" ht="28.8">
      <c r="A530" s="17" t="s">
        <v>980</v>
      </c>
      <c r="B530" s="17" t="s">
        <v>981</v>
      </c>
      <c r="C530" s="56">
        <v>35765.424082090751</v>
      </c>
      <c r="D530" s="53"/>
      <c r="E530"/>
    </row>
    <row r="531" spans="1:5">
      <c r="A531" s="17" t="s">
        <v>982</v>
      </c>
      <c r="B531" s="17" t="s">
        <v>983</v>
      </c>
      <c r="C531" s="56">
        <v>49978.476634476639</v>
      </c>
      <c r="D531" s="53"/>
      <c r="E531"/>
    </row>
    <row r="532" spans="1:5" ht="28.8">
      <c r="A532" s="17" t="s">
        <v>984</v>
      </c>
      <c r="B532" s="17" t="s">
        <v>985</v>
      </c>
      <c r="C532" s="56">
        <v>305297.04604037944</v>
      </c>
      <c r="D532" s="53"/>
      <c r="E532"/>
    </row>
    <row r="533" spans="1:5" ht="28.8">
      <c r="A533" s="17" t="s">
        <v>986</v>
      </c>
      <c r="B533" s="17" t="s">
        <v>987</v>
      </c>
      <c r="C533" s="56">
        <v>305297.04604037944</v>
      </c>
      <c r="D533" s="53"/>
      <c r="E533"/>
    </row>
    <row r="534" spans="1:5" ht="28.8">
      <c r="A534" s="17" t="s">
        <v>988</v>
      </c>
      <c r="B534" s="17" t="s">
        <v>989</v>
      </c>
      <c r="C534" s="56">
        <v>488441.41290807957</v>
      </c>
      <c r="D534" s="53"/>
      <c r="E534"/>
    </row>
    <row r="535" spans="1:5" ht="28.8">
      <c r="A535" s="17" t="s">
        <v>990</v>
      </c>
      <c r="B535" s="17" t="s">
        <v>991</v>
      </c>
      <c r="C535" s="56">
        <v>53119.061802395132</v>
      </c>
      <c r="D535" s="53"/>
      <c r="E535"/>
    </row>
    <row r="536" spans="1:5" ht="28.8">
      <c r="A536" s="17" t="s">
        <v>992</v>
      </c>
      <c r="B536" s="17" t="s">
        <v>993</v>
      </c>
      <c r="C536" s="56">
        <v>48801.815345148687</v>
      </c>
      <c r="D536" s="53"/>
      <c r="E536"/>
    </row>
    <row r="537" spans="1:5" ht="28.8">
      <c r="A537" s="17" t="s">
        <v>994</v>
      </c>
      <c r="B537" s="17" t="s">
        <v>995</v>
      </c>
      <c r="C537" s="56">
        <v>37805.534662868005</v>
      </c>
      <c r="D537" s="53"/>
      <c r="E537"/>
    </row>
    <row r="538" spans="1:5" ht="28.8">
      <c r="A538" s="17" t="s">
        <v>996</v>
      </c>
      <c r="B538" s="17" t="s">
        <v>997</v>
      </c>
      <c r="C538" s="56">
        <v>79361.148111148112</v>
      </c>
      <c r="D538" s="53"/>
      <c r="E538"/>
    </row>
    <row r="539" spans="1:5" ht="28.8">
      <c r="A539" s="17" t="s">
        <v>998</v>
      </c>
      <c r="B539" s="17" t="s">
        <v>999</v>
      </c>
      <c r="C539" s="56">
        <v>170903.70338303671</v>
      </c>
      <c r="D539" s="53"/>
      <c r="E539"/>
    </row>
    <row r="540" spans="1:5">
      <c r="A540" s="17"/>
      <c r="B540" s="17" t="s">
        <v>1000</v>
      </c>
      <c r="C540" s="56">
        <v>0</v>
      </c>
      <c r="D540" s="53"/>
      <c r="E540"/>
    </row>
    <row r="541" spans="1:5">
      <c r="A541" s="17" t="s">
        <v>1001</v>
      </c>
      <c r="B541" s="17" t="s">
        <v>1002</v>
      </c>
      <c r="C541" s="56">
        <v>50325.549388882719</v>
      </c>
      <c r="D541" s="53"/>
      <c r="E541"/>
    </row>
    <row r="542" spans="1:5" ht="28.8">
      <c r="A542" s="17" t="s">
        <v>1003</v>
      </c>
      <c r="B542" s="17" t="s">
        <v>1004</v>
      </c>
      <c r="C542" s="56">
        <v>53034.409911076582</v>
      </c>
      <c r="D542" s="53"/>
      <c r="E542"/>
    </row>
    <row r="543" spans="1:5" ht="28.8">
      <c r="A543" s="17" t="s">
        <v>1005</v>
      </c>
      <c r="B543" s="17" t="s">
        <v>1006</v>
      </c>
      <c r="C543" s="56">
        <v>85202.12861212861</v>
      </c>
      <c r="D543" s="53"/>
      <c r="E543"/>
    </row>
    <row r="544" spans="1:5" ht="28.8">
      <c r="A544" s="17" t="s">
        <v>1007</v>
      </c>
      <c r="B544" s="17" t="s">
        <v>1008</v>
      </c>
      <c r="C544" s="56">
        <v>87910.989134322474</v>
      </c>
      <c r="D544" s="53"/>
      <c r="E544"/>
    </row>
    <row r="545" spans="1:5" ht="28.8">
      <c r="A545" s="17" t="s">
        <v>1009</v>
      </c>
      <c r="B545" s="17" t="s">
        <v>1010</v>
      </c>
      <c r="C545" s="56">
        <v>87910.989134322474</v>
      </c>
      <c r="D545" s="53"/>
      <c r="E545"/>
    </row>
    <row r="546" spans="1:5">
      <c r="A546" s="17" t="s">
        <v>1011</v>
      </c>
      <c r="B546" s="17" t="s">
        <v>1012</v>
      </c>
      <c r="C546" s="56">
        <v>36569.617049617053</v>
      </c>
      <c r="D546" s="53"/>
      <c r="E546"/>
    </row>
    <row r="547" spans="1:5">
      <c r="A547" s="17" t="s">
        <v>1013</v>
      </c>
      <c r="B547" s="17" t="s">
        <v>1014</v>
      </c>
      <c r="C547" s="56">
        <v>188092.47727581061</v>
      </c>
      <c r="D547" s="53"/>
      <c r="E547"/>
    </row>
    <row r="548" spans="1:5" ht="28.8">
      <c r="A548" s="17" t="s">
        <v>1015</v>
      </c>
      <c r="B548" s="17" t="s">
        <v>1016</v>
      </c>
      <c r="C548" s="56">
        <v>243712.79510612841</v>
      </c>
      <c r="D548" s="53"/>
      <c r="E548"/>
    </row>
    <row r="549" spans="1:5">
      <c r="A549" s="17" t="s">
        <v>1017</v>
      </c>
      <c r="B549" s="17" t="s">
        <v>1018</v>
      </c>
      <c r="C549" s="56">
        <v>37793.288193288201</v>
      </c>
      <c r="D549" s="53"/>
      <c r="E549"/>
    </row>
    <row r="550" spans="1:5">
      <c r="A550" s="17" t="s">
        <v>1019</v>
      </c>
      <c r="B550" s="17" t="s">
        <v>1020</v>
      </c>
      <c r="C550" s="56">
        <v>50191.008991008996</v>
      </c>
      <c r="D550" s="53"/>
      <c r="E550"/>
    </row>
    <row r="551" spans="1:5" ht="28.8">
      <c r="A551" s="17" t="s">
        <v>1021</v>
      </c>
      <c r="B551" s="17" t="s">
        <v>1022</v>
      </c>
      <c r="C551" s="56">
        <v>35003.557060223728</v>
      </c>
      <c r="D551" s="53"/>
      <c r="E551"/>
    </row>
    <row r="552" spans="1:5">
      <c r="A552" s="17" t="s">
        <v>1023</v>
      </c>
      <c r="B552" s="17" t="s">
        <v>1024</v>
      </c>
      <c r="C552" s="56">
        <v>40726.02491335824</v>
      </c>
      <c r="D552" s="53"/>
      <c r="E552"/>
    </row>
    <row r="553" spans="1:5" ht="28.8">
      <c r="A553" s="17" t="s">
        <v>1025</v>
      </c>
      <c r="B553" s="17" t="s">
        <v>1026</v>
      </c>
      <c r="C553" s="56">
        <v>91000.783167449816</v>
      </c>
      <c r="D553" s="53"/>
      <c r="E553"/>
    </row>
    <row r="554" spans="1:5">
      <c r="A554" s="17" t="s">
        <v>1027</v>
      </c>
      <c r="B554" s="17" t="s">
        <v>1028</v>
      </c>
      <c r="C554" s="56">
        <v>62600.073630073624</v>
      </c>
      <c r="D554" s="53"/>
      <c r="E554"/>
    </row>
    <row r="555" spans="1:5">
      <c r="A555" s="17" t="s">
        <v>1029</v>
      </c>
      <c r="B555" s="17" t="s">
        <v>1030</v>
      </c>
      <c r="C555" s="56">
        <v>84063.35331335332</v>
      </c>
      <c r="D555" s="53"/>
      <c r="E555"/>
    </row>
    <row r="556" spans="1:5" ht="28.8">
      <c r="A556" s="17" t="s">
        <v>1031</v>
      </c>
      <c r="B556" s="17" t="s">
        <v>1032</v>
      </c>
      <c r="C556" s="56">
        <v>102267.94990194991</v>
      </c>
      <c r="D556" s="53"/>
      <c r="E556"/>
    </row>
    <row r="557" spans="1:5" ht="28.8">
      <c r="A557" s="17" t="s">
        <v>1033</v>
      </c>
      <c r="B557" s="17" t="s">
        <v>1034</v>
      </c>
      <c r="C557" s="56">
        <v>106695.24381791048</v>
      </c>
      <c r="D557" s="53"/>
      <c r="E557"/>
    </row>
    <row r="558" spans="1:5" ht="28.8">
      <c r="A558" s="17" t="s">
        <v>1035</v>
      </c>
      <c r="B558" s="17" t="s">
        <v>1036</v>
      </c>
      <c r="C558" s="56">
        <v>125200.14726014725</v>
      </c>
      <c r="D558" s="53"/>
      <c r="E558"/>
    </row>
    <row r="559" spans="1:5" ht="28.8">
      <c r="A559" s="17" t="s">
        <v>1037</v>
      </c>
      <c r="B559" s="17" t="s">
        <v>1038</v>
      </c>
      <c r="C559" s="56">
        <v>950937.02112702094</v>
      </c>
      <c r="D559" s="53"/>
      <c r="E559"/>
    </row>
    <row r="560" spans="1:5" ht="28.8">
      <c r="A560" s="17" t="s">
        <v>1039</v>
      </c>
      <c r="B560" s="17" t="s">
        <v>1040</v>
      </c>
      <c r="C560" s="56">
        <v>103275.30740864077</v>
      </c>
      <c r="D560" s="53"/>
      <c r="E560"/>
    </row>
    <row r="561" spans="1:5">
      <c r="A561" s="17" t="s">
        <v>1041</v>
      </c>
      <c r="B561" s="17" t="s">
        <v>1042</v>
      </c>
      <c r="C561" s="56">
        <v>73181.560044893398</v>
      </c>
      <c r="D561" s="53"/>
      <c r="E561"/>
    </row>
    <row r="562" spans="1:5" ht="28.8">
      <c r="A562" s="17" t="s">
        <v>1043</v>
      </c>
      <c r="B562" s="17" t="s">
        <v>1044</v>
      </c>
      <c r="C562" s="56">
        <v>156394.36921103587</v>
      </c>
      <c r="D562" s="53"/>
      <c r="E562"/>
    </row>
    <row r="563" spans="1:5" ht="28.8">
      <c r="A563" s="17" t="s">
        <v>1045</v>
      </c>
      <c r="B563" s="17" t="s">
        <v>1046</v>
      </c>
      <c r="C563" s="56">
        <v>206931.54832821502</v>
      </c>
      <c r="D563" s="53"/>
      <c r="E563"/>
    </row>
    <row r="564" spans="1:5" ht="28.8">
      <c r="A564" s="17" t="s">
        <v>1047</v>
      </c>
      <c r="B564" s="17" t="s">
        <v>1048</v>
      </c>
      <c r="C564" s="56">
        <v>313626.79214612546</v>
      </c>
      <c r="D564" s="53"/>
      <c r="E564"/>
    </row>
    <row r="565" spans="1:5" ht="28.8">
      <c r="A565" s="17" t="s">
        <v>1049</v>
      </c>
      <c r="B565" s="17" t="s">
        <v>1050</v>
      </c>
      <c r="C565" s="56">
        <v>66790.342250342248</v>
      </c>
      <c r="D565" s="53"/>
      <c r="E565"/>
    </row>
    <row r="566" spans="1:5" ht="28.8">
      <c r="A566" s="17" t="s">
        <v>1051</v>
      </c>
      <c r="B566" s="17" t="s">
        <v>1052</v>
      </c>
      <c r="C566" s="56">
        <v>18009.689878023215</v>
      </c>
      <c r="D566" s="53"/>
      <c r="E566"/>
    </row>
    <row r="567" spans="1:5" ht="28.8">
      <c r="A567" s="17" t="s">
        <v>1053</v>
      </c>
      <c r="B567" s="17" t="s">
        <v>1054</v>
      </c>
      <c r="C567" s="56">
        <v>23342.759031092362</v>
      </c>
      <c r="D567" s="53"/>
      <c r="E567"/>
    </row>
    <row r="568" spans="1:5" ht="28.8">
      <c r="A568" s="17" t="s">
        <v>1055</v>
      </c>
      <c r="B568" s="17" t="s">
        <v>1056</v>
      </c>
      <c r="C568" s="56">
        <v>30081.049580049577</v>
      </c>
      <c r="D568" s="53"/>
      <c r="E568"/>
    </row>
    <row r="569" spans="1:5" ht="28.8">
      <c r="A569" s="17" t="s">
        <v>1057</v>
      </c>
      <c r="B569" s="17" t="s">
        <v>1058</v>
      </c>
      <c r="C569" s="56">
        <v>30461.983090983089</v>
      </c>
      <c r="D569" s="53"/>
      <c r="E569"/>
    </row>
    <row r="570" spans="1:5" ht="28.8">
      <c r="A570" s="17" t="s">
        <v>1059</v>
      </c>
      <c r="B570" s="17" t="s">
        <v>1060</v>
      </c>
      <c r="C570" s="56">
        <v>40065.740161073496</v>
      </c>
      <c r="D570" s="53"/>
      <c r="E570"/>
    </row>
    <row r="571" spans="1:5">
      <c r="A571" s="17" t="s">
        <v>1061</v>
      </c>
      <c r="B571" s="17" t="s">
        <v>1062</v>
      </c>
      <c r="C571" s="56">
        <v>116074.67337600673</v>
      </c>
      <c r="D571" s="53"/>
      <c r="E571"/>
    </row>
    <row r="572" spans="1:5">
      <c r="A572" s="17" t="s">
        <v>1063</v>
      </c>
      <c r="B572" s="17" t="s">
        <v>1064</v>
      </c>
      <c r="C572" s="56">
        <v>101243.66201699535</v>
      </c>
      <c r="D572" s="53"/>
      <c r="E572"/>
    </row>
    <row r="573" spans="1:5">
      <c r="A573" s="17"/>
      <c r="B573" s="17" t="s">
        <v>1065</v>
      </c>
      <c r="C573" s="56">
        <v>0</v>
      </c>
      <c r="D573" s="53"/>
      <c r="E573"/>
    </row>
    <row r="574" spans="1:5">
      <c r="A574" s="17" t="s">
        <v>1066</v>
      </c>
      <c r="B574" s="17" t="s">
        <v>1067</v>
      </c>
      <c r="C574" s="56">
        <v>3602572.8647895316</v>
      </c>
      <c r="D574" s="53"/>
      <c r="E574"/>
    </row>
    <row r="575" spans="1:5">
      <c r="A575" s="17" t="s">
        <v>1068</v>
      </c>
      <c r="B575" s="17" t="s">
        <v>1069</v>
      </c>
      <c r="C575" s="56">
        <v>12822814.541261207</v>
      </c>
      <c r="D575" s="53"/>
      <c r="E575"/>
    </row>
    <row r="576" spans="1:5">
      <c r="A576" s="17" t="s">
        <v>1070</v>
      </c>
      <c r="B576" s="17" t="s">
        <v>1071</v>
      </c>
      <c r="C576" s="56">
        <v>2198240.3137603137</v>
      </c>
      <c r="D576" s="53"/>
      <c r="E576"/>
    </row>
    <row r="577" spans="1:5" ht="28.8">
      <c r="A577" s="17" t="s">
        <v>1072</v>
      </c>
      <c r="B577" s="17" t="s">
        <v>1073</v>
      </c>
      <c r="C577" s="56">
        <v>456189.042315709</v>
      </c>
      <c r="D577" s="53"/>
      <c r="E577"/>
    </row>
    <row r="578" spans="1:5">
      <c r="A578" s="17" t="s">
        <v>1074</v>
      </c>
      <c r="B578" s="17" t="s">
        <v>1075</v>
      </c>
      <c r="C578" s="56">
        <v>28274.829491496155</v>
      </c>
      <c r="D578" s="53"/>
      <c r="E578"/>
    </row>
    <row r="579" spans="1:5">
      <c r="A579" s="17" t="s">
        <v>1076</v>
      </c>
      <c r="B579" s="17" t="s">
        <v>1077</v>
      </c>
      <c r="C579" s="56">
        <v>33733.778690445361</v>
      </c>
      <c r="D579" s="53"/>
      <c r="E579"/>
    </row>
    <row r="580" spans="1:5" ht="28.8">
      <c r="A580" s="17" t="s">
        <v>1078</v>
      </c>
      <c r="B580" s="17" t="s">
        <v>1079</v>
      </c>
      <c r="C580" s="56">
        <v>15702.925839592508</v>
      </c>
      <c r="D580" s="53"/>
      <c r="E580"/>
    </row>
    <row r="581" spans="1:5" ht="28.8">
      <c r="A581" s="17" t="s">
        <v>1080</v>
      </c>
      <c r="B581" s="17" t="s">
        <v>1081</v>
      </c>
      <c r="C581" s="56">
        <v>17819.223122556454</v>
      </c>
      <c r="D581" s="53"/>
      <c r="E581"/>
    </row>
    <row r="582" spans="1:5">
      <c r="A582" s="17" t="s">
        <v>1082</v>
      </c>
      <c r="B582" s="17" t="s">
        <v>1083</v>
      </c>
      <c r="C582" s="56">
        <v>22297.308173308171</v>
      </c>
      <c r="D582" s="53"/>
      <c r="E582"/>
    </row>
    <row r="583" spans="1:5" ht="28.8">
      <c r="A583" s="17" t="s">
        <v>1084</v>
      </c>
      <c r="B583" s="17" t="s">
        <v>1085</v>
      </c>
      <c r="C583" s="56">
        <v>22297.308173308171</v>
      </c>
      <c r="D583" s="53"/>
      <c r="E583"/>
    </row>
    <row r="584" spans="1:5">
      <c r="A584" s="17" t="s">
        <v>1086</v>
      </c>
      <c r="B584" s="17" t="s">
        <v>1087</v>
      </c>
      <c r="C584" s="56">
        <v>3174.4459244459249</v>
      </c>
      <c r="D584" s="53"/>
      <c r="E584"/>
    </row>
    <row r="585" spans="1:5" ht="28.8">
      <c r="A585" s="17"/>
      <c r="B585" s="17" t="s">
        <v>1088</v>
      </c>
      <c r="C585" s="56">
        <v>0</v>
      </c>
      <c r="D585" s="53"/>
      <c r="E585"/>
    </row>
    <row r="586" spans="1:5">
      <c r="A586" s="17" t="s">
        <v>1089</v>
      </c>
      <c r="B586" s="17" t="s">
        <v>1090</v>
      </c>
      <c r="C586" s="56">
        <v>3716.2180288846962</v>
      </c>
      <c r="D586" s="53"/>
      <c r="E586"/>
    </row>
    <row r="587" spans="1:5">
      <c r="A587" s="17" t="s">
        <v>1091</v>
      </c>
      <c r="B587" s="17" t="s">
        <v>1092</v>
      </c>
      <c r="C587" s="56">
        <v>21924.839851506516</v>
      </c>
      <c r="D587" s="53"/>
      <c r="E587"/>
    </row>
    <row r="588" spans="1:5" ht="28.8">
      <c r="A588" s="17" t="s">
        <v>1093</v>
      </c>
      <c r="B588" s="17" t="s">
        <v>1094</v>
      </c>
      <c r="C588" s="56">
        <v>51172.068302068299</v>
      </c>
      <c r="D588" s="53"/>
      <c r="E588"/>
    </row>
    <row r="589" spans="1:5" ht="28.8">
      <c r="A589" s="17" t="s">
        <v>1095</v>
      </c>
      <c r="B589" s="17" t="s">
        <v>1096</v>
      </c>
      <c r="C589" s="56">
        <v>10090.505445172112</v>
      </c>
      <c r="D589" s="53"/>
      <c r="E589"/>
    </row>
    <row r="590" spans="1:5" ht="28.8">
      <c r="A590" s="17" t="s">
        <v>1097</v>
      </c>
      <c r="B590" s="17" t="s">
        <v>1098</v>
      </c>
      <c r="C590" s="56">
        <v>14348.495578495576</v>
      </c>
      <c r="D590" s="53"/>
      <c r="E590"/>
    </row>
    <row r="591" spans="1:5" ht="28.8">
      <c r="A591" s="17" t="s">
        <v>1099</v>
      </c>
      <c r="B591" s="17" t="s">
        <v>1100</v>
      </c>
      <c r="C591" s="56">
        <v>14094.539904539904</v>
      </c>
      <c r="D591" s="53"/>
      <c r="E591"/>
    </row>
    <row r="592" spans="1:5" ht="28.8">
      <c r="A592" s="17" t="s">
        <v>1101</v>
      </c>
      <c r="B592" s="17" t="s">
        <v>1102</v>
      </c>
      <c r="C592" s="56">
        <v>111698.17059483725</v>
      </c>
      <c r="D592" s="53"/>
      <c r="E592"/>
    </row>
    <row r="593" spans="1:5" ht="28.8">
      <c r="A593" s="17" t="s">
        <v>1103</v>
      </c>
      <c r="B593" s="17" t="s">
        <v>1104</v>
      </c>
      <c r="C593" s="56">
        <v>81816.052959386288</v>
      </c>
      <c r="D593" s="53"/>
      <c r="E593"/>
    </row>
    <row r="594" spans="1:5" ht="28.8">
      <c r="A594" s="17" t="s">
        <v>1105</v>
      </c>
      <c r="B594" s="17" t="s">
        <v>1106</v>
      </c>
      <c r="C594" s="56">
        <v>13705.141204474539</v>
      </c>
      <c r="D594" s="53"/>
      <c r="E594"/>
    </row>
    <row r="595" spans="1:5" ht="28.8">
      <c r="A595" s="17" t="s">
        <v>1107</v>
      </c>
      <c r="B595" s="17" t="s">
        <v>1108</v>
      </c>
      <c r="C595" s="56">
        <v>17015.030155030156</v>
      </c>
      <c r="D595" s="53"/>
      <c r="E595"/>
    </row>
    <row r="596" spans="1:5" ht="28.8">
      <c r="A596" s="17" t="s">
        <v>1109</v>
      </c>
      <c r="B596" s="17" t="s">
        <v>1110</v>
      </c>
      <c r="C596" s="56">
        <v>16663.724806058137</v>
      </c>
      <c r="D596" s="53"/>
      <c r="E596"/>
    </row>
    <row r="597" spans="1:5">
      <c r="A597" s="17" t="s">
        <v>1111</v>
      </c>
      <c r="B597" s="17" t="s">
        <v>1112</v>
      </c>
      <c r="C597" s="56">
        <v>33035.400587067255</v>
      </c>
      <c r="D597" s="53"/>
      <c r="E597"/>
    </row>
    <row r="598" spans="1:5">
      <c r="A598" s="17" t="s">
        <v>1113</v>
      </c>
      <c r="B598" s="17" t="s">
        <v>1114</v>
      </c>
      <c r="C598" s="56">
        <v>72504.344914344925</v>
      </c>
      <c r="D598" s="53"/>
      <c r="E598"/>
    </row>
    <row r="599" spans="1:5" ht="28.8">
      <c r="A599" s="17" t="s">
        <v>1115</v>
      </c>
      <c r="B599" s="17" t="s">
        <v>1116</v>
      </c>
      <c r="C599" s="56">
        <v>73012.25626225624</v>
      </c>
      <c r="D599" s="53"/>
      <c r="E599"/>
    </row>
    <row r="600" spans="1:5" ht="28.8">
      <c r="A600" s="17" t="s">
        <v>1117</v>
      </c>
      <c r="B600" s="17" t="s">
        <v>1118</v>
      </c>
      <c r="C600" s="56">
        <v>97349.675016341687</v>
      </c>
      <c r="D600" s="53"/>
      <c r="E600"/>
    </row>
    <row r="601" spans="1:5" ht="28.8">
      <c r="A601" s="17" t="s">
        <v>1119</v>
      </c>
      <c r="B601" s="17" t="s">
        <v>1120</v>
      </c>
      <c r="C601" s="56">
        <v>24422.070645403979</v>
      </c>
      <c r="D601" s="53"/>
      <c r="E601"/>
    </row>
    <row r="602" spans="1:5" ht="28.8">
      <c r="A602" s="17" t="s">
        <v>1121</v>
      </c>
      <c r="B602" s="17" t="s">
        <v>1122</v>
      </c>
      <c r="C602" s="56">
        <v>30051.421418088088</v>
      </c>
      <c r="D602" s="53"/>
      <c r="E602"/>
    </row>
    <row r="603" spans="1:5" ht="28.8">
      <c r="A603" s="17" t="s">
        <v>1123</v>
      </c>
      <c r="B603" s="17" t="s">
        <v>1124</v>
      </c>
      <c r="C603" s="56">
        <v>49436.704530037852</v>
      </c>
      <c r="D603" s="53"/>
      <c r="E603"/>
    </row>
    <row r="604" spans="1:5" ht="28.8">
      <c r="A604" s="17" t="s">
        <v>1125</v>
      </c>
      <c r="B604" s="17" t="s">
        <v>1126</v>
      </c>
      <c r="C604" s="56">
        <v>73689.471392804713</v>
      </c>
      <c r="D604" s="53"/>
      <c r="E604"/>
    </row>
    <row r="605" spans="1:5" ht="28.8">
      <c r="A605" s="17" t="s">
        <v>1127</v>
      </c>
      <c r="B605" s="17" t="s">
        <v>1128</v>
      </c>
      <c r="C605" s="56">
        <v>73689.471392804713</v>
      </c>
      <c r="D605" s="53"/>
      <c r="E605"/>
    </row>
    <row r="606" spans="1:5" ht="28.8">
      <c r="A606" s="17" t="s">
        <v>1129</v>
      </c>
      <c r="B606" s="17" t="s">
        <v>1130</v>
      </c>
      <c r="C606" s="56">
        <v>55827.922324589003</v>
      </c>
      <c r="D606" s="53"/>
      <c r="E606"/>
    </row>
    <row r="607" spans="1:5" ht="28.8">
      <c r="A607" s="17" t="s">
        <v>1131</v>
      </c>
      <c r="B607" s="17" t="s">
        <v>1132</v>
      </c>
      <c r="C607" s="56">
        <v>65647.54171754171</v>
      </c>
      <c r="D607" s="53"/>
      <c r="E607"/>
    </row>
    <row r="608" spans="1:5" ht="28.8">
      <c r="A608" s="17" t="s">
        <v>1133</v>
      </c>
      <c r="B608" s="17" t="s">
        <v>1134</v>
      </c>
      <c r="C608" s="56">
        <v>59603.396677396675</v>
      </c>
      <c r="D608" s="53"/>
      <c r="E608"/>
    </row>
    <row r="609" spans="1:5" ht="28.8">
      <c r="A609" s="17" t="s">
        <v>1135</v>
      </c>
      <c r="B609" s="17" t="s">
        <v>2653</v>
      </c>
      <c r="C609" s="56">
        <v>60991.687695021028</v>
      </c>
      <c r="D609" s="53"/>
      <c r="E609"/>
    </row>
    <row r="610" spans="1:5" ht="28.8">
      <c r="A610" s="17" t="s">
        <v>1136</v>
      </c>
      <c r="B610" s="17" t="s">
        <v>1137</v>
      </c>
      <c r="C610" s="56">
        <v>72504.344914344925</v>
      </c>
      <c r="D610" s="53"/>
      <c r="E610"/>
    </row>
    <row r="611" spans="1:5" ht="28.8">
      <c r="A611" s="17" t="s">
        <v>1138</v>
      </c>
      <c r="B611" s="17" t="s">
        <v>1139</v>
      </c>
      <c r="C611" s="56">
        <v>135908.61151194485</v>
      </c>
      <c r="D611" s="53"/>
      <c r="E611"/>
    </row>
    <row r="612" spans="1:5" ht="28.8">
      <c r="A612" s="17" t="s">
        <v>1140</v>
      </c>
      <c r="B612" s="17" t="s">
        <v>1141</v>
      </c>
      <c r="C612" s="56">
        <v>102767.3960607294</v>
      </c>
      <c r="D612" s="53"/>
      <c r="E612"/>
    </row>
    <row r="613" spans="1:5">
      <c r="A613" s="17" t="s">
        <v>1142</v>
      </c>
      <c r="B613" s="17" t="s">
        <v>1143</v>
      </c>
      <c r="C613" s="56">
        <v>72504.344914344925</v>
      </c>
      <c r="D613" s="53"/>
      <c r="E613"/>
    </row>
    <row r="614" spans="1:5">
      <c r="A614" s="17" t="s">
        <v>1144</v>
      </c>
      <c r="B614" s="17" t="s">
        <v>1145</v>
      </c>
      <c r="C614" s="56">
        <v>96757.111777111772</v>
      </c>
      <c r="D614" s="53"/>
      <c r="E614"/>
    </row>
    <row r="615" spans="1:5">
      <c r="A615" s="17" t="s">
        <v>1146</v>
      </c>
      <c r="B615" s="17" t="s">
        <v>1147</v>
      </c>
      <c r="C615" s="56">
        <v>107507.90197456864</v>
      </c>
      <c r="D615" s="53"/>
      <c r="E615"/>
    </row>
    <row r="616" spans="1:5" ht="28.8">
      <c r="A616" s="17" t="s">
        <v>1148</v>
      </c>
      <c r="B616" s="17" t="s">
        <v>1149</v>
      </c>
      <c r="C616" s="56">
        <v>121814.07160740494</v>
      </c>
      <c r="D616" s="53"/>
      <c r="E616"/>
    </row>
    <row r="617" spans="1:5">
      <c r="A617" s="17" t="s">
        <v>1150</v>
      </c>
      <c r="B617" s="17" t="s">
        <v>1151</v>
      </c>
      <c r="C617" s="56">
        <v>193133.29004329004</v>
      </c>
      <c r="D617" s="53"/>
      <c r="E617"/>
    </row>
    <row r="618" spans="1:5">
      <c r="A618" s="17" t="s">
        <v>1152</v>
      </c>
      <c r="B618" s="17" t="s">
        <v>1153</v>
      </c>
      <c r="C618" s="56">
        <v>211375.77262243925</v>
      </c>
      <c r="D618" s="53"/>
      <c r="E618"/>
    </row>
    <row r="619" spans="1:5">
      <c r="A619" s="17" t="s">
        <v>1154</v>
      </c>
      <c r="B619" s="17" t="s">
        <v>1155</v>
      </c>
      <c r="C619" s="56">
        <v>193133.29004329004</v>
      </c>
      <c r="D619" s="53"/>
      <c r="E619"/>
    </row>
    <row r="620" spans="1:5">
      <c r="A620" s="17" t="s">
        <v>1156</v>
      </c>
      <c r="B620" s="17" t="s">
        <v>1157</v>
      </c>
      <c r="C620" s="56">
        <v>364934.30347430351</v>
      </c>
      <c r="D620" s="53"/>
      <c r="E620"/>
    </row>
    <row r="621" spans="1:5">
      <c r="A621" s="17" t="s">
        <v>1158</v>
      </c>
      <c r="B621" s="17" t="s">
        <v>1159</v>
      </c>
      <c r="C621" s="56">
        <v>102767.3960607294</v>
      </c>
      <c r="D621" s="53"/>
      <c r="E621"/>
    </row>
    <row r="622" spans="1:5" ht="28.8">
      <c r="A622" s="17" t="s">
        <v>1160</v>
      </c>
      <c r="B622" s="17" t="s">
        <v>1161</v>
      </c>
      <c r="C622" s="56">
        <v>271859.54896954901</v>
      </c>
      <c r="D622" s="53"/>
      <c r="E622"/>
    </row>
    <row r="623" spans="1:5">
      <c r="A623" s="17" t="s">
        <v>1162</v>
      </c>
      <c r="B623" s="17" t="s">
        <v>1163</v>
      </c>
      <c r="C623" s="56">
        <v>519297.02729369397</v>
      </c>
      <c r="D623" s="53"/>
      <c r="E623"/>
    </row>
    <row r="624" spans="1:5">
      <c r="A624" s="17" t="s">
        <v>1164</v>
      </c>
      <c r="B624" s="17" t="s">
        <v>1165</v>
      </c>
      <c r="C624" s="56">
        <v>2535578.1006647674</v>
      </c>
      <c r="D624" s="53"/>
      <c r="E624"/>
    </row>
    <row r="625" spans="1:5">
      <c r="A625" s="17" t="s">
        <v>1166</v>
      </c>
      <c r="B625" s="17" t="s">
        <v>1167</v>
      </c>
      <c r="C625" s="56">
        <v>7015.5254930254932</v>
      </c>
      <c r="D625" s="53"/>
      <c r="E625"/>
    </row>
    <row r="626" spans="1:5" ht="28.8">
      <c r="A626" s="17" t="s">
        <v>1168</v>
      </c>
      <c r="B626" s="17" t="s">
        <v>1169</v>
      </c>
      <c r="C626" s="56">
        <v>9459.8488548488549</v>
      </c>
      <c r="D626" s="53"/>
      <c r="E626"/>
    </row>
    <row r="627" spans="1:5" ht="28.8">
      <c r="A627" s="17" t="s">
        <v>1170</v>
      </c>
      <c r="B627" s="17" t="s">
        <v>1171</v>
      </c>
      <c r="C627" s="56">
        <v>11787.775866109198</v>
      </c>
      <c r="D627" s="53"/>
      <c r="E627"/>
    </row>
    <row r="628" spans="1:5" ht="28.8">
      <c r="A628" s="17" t="s">
        <v>1172</v>
      </c>
      <c r="B628" s="17" t="s">
        <v>1173</v>
      </c>
      <c r="C628" s="56">
        <v>41775.708365708371</v>
      </c>
      <c r="D628" s="53"/>
      <c r="E628"/>
    </row>
    <row r="629" spans="1:5" ht="28.8">
      <c r="A629" s="17" t="s">
        <v>1174</v>
      </c>
      <c r="B629" s="17" t="s">
        <v>1175</v>
      </c>
      <c r="C629" s="56">
        <v>31998.414918414921</v>
      </c>
      <c r="D629" s="53"/>
      <c r="E629"/>
    </row>
    <row r="630" spans="1:5" ht="28.8">
      <c r="A630" s="17" t="s">
        <v>1176</v>
      </c>
      <c r="B630" s="17" t="s">
        <v>1177</v>
      </c>
      <c r="C630" s="56">
        <v>30474.680874680871</v>
      </c>
      <c r="D630" s="53"/>
      <c r="E630"/>
    </row>
    <row r="631" spans="1:5">
      <c r="A631" s="17" t="s">
        <v>1178</v>
      </c>
      <c r="B631" s="17" t="s">
        <v>1179</v>
      </c>
      <c r="C631" s="56">
        <v>42918.50889850891</v>
      </c>
      <c r="D631" s="53"/>
      <c r="E631"/>
    </row>
    <row r="632" spans="1:5">
      <c r="A632" s="17" t="s">
        <v>1180</v>
      </c>
      <c r="B632" s="17" t="s">
        <v>1181</v>
      </c>
      <c r="C632" s="56">
        <v>43959.727161727169</v>
      </c>
      <c r="D632" s="53"/>
      <c r="E632"/>
    </row>
    <row r="633" spans="1:5">
      <c r="A633" s="17" t="s">
        <v>1182</v>
      </c>
      <c r="B633" s="17" t="s">
        <v>1183</v>
      </c>
      <c r="C633" s="56">
        <v>43959.727161727169</v>
      </c>
      <c r="D633" s="53"/>
      <c r="E633"/>
    </row>
    <row r="634" spans="1:5" ht="28.8">
      <c r="A634" s="17" t="s">
        <v>1184</v>
      </c>
      <c r="B634" s="17" t="s">
        <v>1185</v>
      </c>
      <c r="C634" s="56">
        <v>15444.737571070904</v>
      </c>
      <c r="D634" s="53"/>
      <c r="E634"/>
    </row>
    <row r="635" spans="1:5" ht="28.8">
      <c r="A635" s="17" t="s">
        <v>1186</v>
      </c>
      <c r="B635" s="17" t="s">
        <v>1187</v>
      </c>
      <c r="C635" s="56">
        <v>27300.234950234946</v>
      </c>
      <c r="D635" s="53"/>
      <c r="E635"/>
    </row>
    <row r="636" spans="1:5" ht="28.8">
      <c r="A636" s="17" t="s">
        <v>1188</v>
      </c>
      <c r="B636" s="17" t="s">
        <v>1189</v>
      </c>
      <c r="C636" s="56">
        <v>20684.689643689642</v>
      </c>
      <c r="D636" s="53"/>
      <c r="E636"/>
    </row>
    <row r="637" spans="1:5" ht="28.8">
      <c r="A637" s="17" t="s">
        <v>1190</v>
      </c>
      <c r="B637" s="17" t="s">
        <v>1191</v>
      </c>
      <c r="C637" s="56">
        <v>48285.438808105471</v>
      </c>
      <c r="D637" s="53"/>
      <c r="E637"/>
    </row>
    <row r="638" spans="1:5" ht="28.8">
      <c r="A638" s="17" t="s">
        <v>1192</v>
      </c>
      <c r="B638" s="17" t="s">
        <v>1193</v>
      </c>
      <c r="C638" s="56">
        <v>35562.259542926207</v>
      </c>
      <c r="D638" s="53"/>
      <c r="E638"/>
    </row>
    <row r="639" spans="1:5" ht="28.8">
      <c r="A639" s="17" t="s">
        <v>1194</v>
      </c>
      <c r="B639" s="17" t="s">
        <v>1195</v>
      </c>
      <c r="C639" s="56">
        <v>49131.957721291066</v>
      </c>
      <c r="D639" s="53"/>
      <c r="E639"/>
    </row>
    <row r="640" spans="1:5" ht="28.8">
      <c r="A640" s="17" t="s">
        <v>1196</v>
      </c>
      <c r="B640" s="17" t="s">
        <v>1197</v>
      </c>
      <c r="C640" s="56">
        <v>52187.890997891001</v>
      </c>
      <c r="D640" s="53"/>
      <c r="E640"/>
    </row>
    <row r="641" spans="1:5" ht="28.8">
      <c r="A641" s="17" t="s">
        <v>1198</v>
      </c>
      <c r="B641" s="17" t="s">
        <v>1199</v>
      </c>
      <c r="C641" s="56">
        <v>58494.456901123573</v>
      </c>
      <c r="D641" s="53"/>
      <c r="E641"/>
    </row>
    <row r="642" spans="1:5" ht="28.8">
      <c r="A642" s="17" t="s">
        <v>1200</v>
      </c>
      <c r="B642" s="17" t="s">
        <v>1201</v>
      </c>
      <c r="C642" s="56">
        <v>59425.627705627703</v>
      </c>
      <c r="D642" s="53"/>
      <c r="E642"/>
    </row>
    <row r="643" spans="1:5" ht="28.8">
      <c r="A643" s="17" t="s">
        <v>1202</v>
      </c>
      <c r="B643" s="17" t="s">
        <v>1203</v>
      </c>
      <c r="C643" s="56">
        <v>44357.591050924377</v>
      </c>
      <c r="D643" s="53"/>
      <c r="E643"/>
    </row>
    <row r="644" spans="1:5" ht="28.8">
      <c r="A644" s="17" t="s">
        <v>1204</v>
      </c>
      <c r="B644" s="17" t="s">
        <v>1205</v>
      </c>
      <c r="C644" s="56">
        <v>72504.344914344925</v>
      </c>
      <c r="D644" s="53"/>
      <c r="E644"/>
    </row>
    <row r="645" spans="1:5" ht="28.8">
      <c r="A645" s="17" t="s">
        <v>1206</v>
      </c>
      <c r="B645" s="17" t="s">
        <v>1207</v>
      </c>
      <c r="C645" s="56">
        <v>90746.827493494158</v>
      </c>
      <c r="D645" s="53"/>
      <c r="E645"/>
    </row>
    <row r="646" spans="1:5" ht="28.8">
      <c r="A646" s="17" t="s">
        <v>1208</v>
      </c>
      <c r="B646" s="17" t="s">
        <v>1209</v>
      </c>
      <c r="C646" s="56">
        <v>113221.9046385713</v>
      </c>
      <c r="D646" s="53"/>
      <c r="E646"/>
    </row>
    <row r="647" spans="1:5" ht="28.8">
      <c r="A647" s="17" t="s">
        <v>1210</v>
      </c>
      <c r="B647" s="17" t="s">
        <v>1211</v>
      </c>
      <c r="C647" s="56">
        <v>97434.32690766023</v>
      </c>
      <c r="D647" s="53"/>
      <c r="E647"/>
    </row>
    <row r="648" spans="1:5" ht="28.8">
      <c r="A648" s="17" t="s">
        <v>1212</v>
      </c>
      <c r="B648" s="17" t="s">
        <v>1213</v>
      </c>
      <c r="C648" s="56">
        <v>57800.311392311392</v>
      </c>
      <c r="D648" s="53"/>
      <c r="E648"/>
    </row>
    <row r="649" spans="1:5" ht="28.8">
      <c r="A649" s="17" t="s">
        <v>1214</v>
      </c>
      <c r="B649" s="17" t="s">
        <v>1215</v>
      </c>
      <c r="C649" s="56">
        <v>81435.11944845278</v>
      </c>
      <c r="D649" s="53"/>
      <c r="E649"/>
    </row>
    <row r="650" spans="1:5" ht="28.8">
      <c r="A650" s="17" t="s">
        <v>1216</v>
      </c>
      <c r="B650" s="17" t="s">
        <v>1217</v>
      </c>
      <c r="C650" s="56">
        <v>109624.19925753259</v>
      </c>
      <c r="D650" s="53"/>
      <c r="E650"/>
    </row>
    <row r="651" spans="1:5" ht="28.8">
      <c r="A651" s="17" t="s">
        <v>1218</v>
      </c>
      <c r="B651" s="17" t="s">
        <v>1219</v>
      </c>
      <c r="C651" s="56">
        <v>96757.111777111772</v>
      </c>
      <c r="D651" s="53"/>
      <c r="E651"/>
    </row>
    <row r="652" spans="1:5" ht="28.8">
      <c r="A652" s="17" t="s">
        <v>1220</v>
      </c>
      <c r="B652" s="17" t="s">
        <v>1221</v>
      </c>
      <c r="C652" s="56">
        <v>176795.47501880836</v>
      </c>
      <c r="D652" s="53"/>
      <c r="E652"/>
    </row>
    <row r="653" spans="1:5" ht="28.8">
      <c r="A653" s="17" t="s">
        <v>1222</v>
      </c>
      <c r="B653" s="17" t="s">
        <v>1223</v>
      </c>
      <c r="C653" s="56">
        <v>247606.78210678208</v>
      </c>
      <c r="D653" s="53"/>
      <c r="E653"/>
    </row>
    <row r="654" spans="1:5" ht="28.8">
      <c r="A654" s="17" t="s">
        <v>1224</v>
      </c>
      <c r="B654" s="17" t="s">
        <v>1225</v>
      </c>
      <c r="C654" s="56">
        <v>247606.78210678208</v>
      </c>
      <c r="D654" s="53"/>
      <c r="E654"/>
    </row>
    <row r="655" spans="1:5" ht="28.8">
      <c r="A655" s="17" t="s">
        <v>1226</v>
      </c>
      <c r="B655" s="17" t="s">
        <v>1227</v>
      </c>
      <c r="C655" s="56">
        <v>211375.77262243925</v>
      </c>
      <c r="D655" s="53"/>
      <c r="E655"/>
    </row>
    <row r="656" spans="1:5" ht="28.8">
      <c r="A656" s="17" t="s">
        <v>1228</v>
      </c>
      <c r="B656" s="17" t="s">
        <v>1229</v>
      </c>
      <c r="C656" s="56">
        <v>211375.77262243925</v>
      </c>
      <c r="D656" s="53"/>
      <c r="E656"/>
    </row>
    <row r="657" spans="1:5" ht="28.8">
      <c r="A657" s="17" t="s">
        <v>1230</v>
      </c>
      <c r="B657" s="17" t="s">
        <v>1231</v>
      </c>
      <c r="C657" s="56">
        <v>350204.87438487436</v>
      </c>
      <c r="D657" s="53"/>
      <c r="E657"/>
    </row>
    <row r="658" spans="1:5" ht="28.8">
      <c r="A658" s="17" t="s">
        <v>1232</v>
      </c>
      <c r="B658" s="17" t="s">
        <v>1233</v>
      </c>
      <c r="C658" s="56">
        <v>434560.48408381746</v>
      </c>
      <c r="D658" s="53"/>
      <c r="E658"/>
    </row>
    <row r="659" spans="1:5" ht="28.8">
      <c r="A659" s="17" t="s">
        <v>1234</v>
      </c>
      <c r="B659" s="17" t="s">
        <v>1235</v>
      </c>
      <c r="C659" s="56">
        <v>259627.35067401736</v>
      </c>
      <c r="D659" s="53"/>
      <c r="E659"/>
    </row>
    <row r="660" spans="1:5" ht="28.8">
      <c r="A660" s="17" t="s">
        <v>1236</v>
      </c>
      <c r="B660" s="17" t="s">
        <v>1237</v>
      </c>
      <c r="C660" s="56">
        <v>261828.29984829982</v>
      </c>
      <c r="D660" s="53"/>
      <c r="E660"/>
    </row>
    <row r="661" spans="1:5" ht="28.8">
      <c r="A661" s="17" t="s">
        <v>1238</v>
      </c>
      <c r="B661" s="17" t="s">
        <v>1239</v>
      </c>
      <c r="C661" s="56">
        <v>96757.111777111772</v>
      </c>
      <c r="D661" s="53"/>
      <c r="E661"/>
    </row>
    <row r="662" spans="1:5" ht="28.8">
      <c r="A662" s="17" t="s">
        <v>1240</v>
      </c>
      <c r="B662" s="17" t="s">
        <v>1241</v>
      </c>
      <c r="C662" s="56">
        <v>119443.81865048531</v>
      </c>
      <c r="D662" s="53"/>
      <c r="E662"/>
    </row>
    <row r="663" spans="1:5" ht="28.8">
      <c r="A663" s="17" t="s">
        <v>1242</v>
      </c>
      <c r="B663" s="17" t="s">
        <v>1243</v>
      </c>
      <c r="C663" s="56">
        <v>271859.54896954901</v>
      </c>
      <c r="D663" s="53"/>
      <c r="E663"/>
    </row>
    <row r="664" spans="1:5" ht="28.8">
      <c r="A664" s="17" t="s">
        <v>1244</v>
      </c>
      <c r="B664" s="17" t="s">
        <v>1245</v>
      </c>
      <c r="C664" s="56">
        <v>157071.58434158433</v>
      </c>
      <c r="D664" s="53"/>
      <c r="E664"/>
    </row>
    <row r="665" spans="1:5" ht="28.8">
      <c r="A665" s="17" t="s">
        <v>1246</v>
      </c>
      <c r="B665" s="17" t="s">
        <v>1247</v>
      </c>
      <c r="C665" s="56">
        <v>259458.04689138022</v>
      </c>
      <c r="D665" s="53"/>
      <c r="E665"/>
    </row>
    <row r="666" spans="1:5" ht="28.8">
      <c r="A666" s="17" t="s">
        <v>1248</v>
      </c>
      <c r="B666" s="17" t="s">
        <v>1249</v>
      </c>
      <c r="C666" s="56">
        <v>319772.5194558528</v>
      </c>
      <c r="D666" s="53"/>
      <c r="E666"/>
    </row>
    <row r="667" spans="1:5" ht="28.8">
      <c r="A667" s="17" t="s">
        <v>1250</v>
      </c>
      <c r="B667" s="17" t="s">
        <v>1251</v>
      </c>
      <c r="C667" s="56">
        <v>87826.337243003916</v>
      </c>
      <c r="D667" s="53"/>
      <c r="E667"/>
    </row>
    <row r="668" spans="1:5" ht="28.8">
      <c r="A668" s="17" t="s">
        <v>1252</v>
      </c>
      <c r="B668" s="17" t="s">
        <v>1253</v>
      </c>
      <c r="C668" s="56">
        <v>138829.10176243511</v>
      </c>
      <c r="D668" s="53"/>
      <c r="E668"/>
    </row>
    <row r="669" spans="1:5" ht="28.8">
      <c r="A669" s="17" t="s">
        <v>1254</v>
      </c>
      <c r="B669" s="17" t="s">
        <v>1255</v>
      </c>
      <c r="C669" s="56">
        <v>155166.91678691676</v>
      </c>
      <c r="D669" s="53"/>
      <c r="E669"/>
    </row>
    <row r="670" spans="1:5" ht="28.8">
      <c r="A670" s="17" t="s">
        <v>1256</v>
      </c>
      <c r="B670" s="17" t="s">
        <v>1257</v>
      </c>
      <c r="C670" s="56">
        <v>512778.83166216494</v>
      </c>
      <c r="D670" s="53"/>
      <c r="E670"/>
    </row>
    <row r="671" spans="1:5" ht="28.8">
      <c r="A671" s="17" t="s">
        <v>1258</v>
      </c>
      <c r="B671" s="17" t="s">
        <v>1259</v>
      </c>
      <c r="C671" s="56">
        <v>332174.02153402154</v>
      </c>
      <c r="D671" s="53"/>
      <c r="E671"/>
    </row>
    <row r="672" spans="1:5" ht="28.8">
      <c r="A672" s="17" t="s">
        <v>1260</v>
      </c>
      <c r="B672" s="17" t="s">
        <v>1261</v>
      </c>
      <c r="C672" s="56">
        <v>360617.05701705697</v>
      </c>
      <c r="D672" s="53"/>
      <c r="E672"/>
    </row>
    <row r="673" spans="1:5" ht="28.8">
      <c r="A673" s="17" t="s">
        <v>1262</v>
      </c>
      <c r="B673" s="17" t="s">
        <v>1263</v>
      </c>
      <c r="C673" s="56">
        <v>271859.54896954901</v>
      </c>
      <c r="D673" s="53"/>
      <c r="E673"/>
    </row>
    <row r="674" spans="1:5" ht="28.8">
      <c r="A674" s="17" t="s">
        <v>1264</v>
      </c>
      <c r="B674" s="17" t="s">
        <v>1265</v>
      </c>
      <c r="C674" s="56">
        <v>845079.8310331644</v>
      </c>
      <c r="D674" s="53"/>
      <c r="E674"/>
    </row>
    <row r="675" spans="1:5">
      <c r="A675" s="17" t="s">
        <v>1266</v>
      </c>
      <c r="B675" s="17" t="s">
        <v>1267</v>
      </c>
      <c r="C675" s="56">
        <v>845079.8310331644</v>
      </c>
      <c r="D675" s="53"/>
      <c r="E675"/>
    </row>
    <row r="676" spans="1:5" ht="28.8">
      <c r="A676" s="17" t="s">
        <v>1268</v>
      </c>
      <c r="B676" s="17" t="s">
        <v>1269</v>
      </c>
      <c r="C676" s="56">
        <v>577833.81014047679</v>
      </c>
      <c r="D676" s="53"/>
      <c r="E676"/>
    </row>
    <row r="677" spans="1:5" ht="28.8">
      <c r="A677" s="17" t="s">
        <v>1270</v>
      </c>
      <c r="B677" s="17" t="s">
        <v>1271</v>
      </c>
      <c r="C677" s="56">
        <v>506895.52521552524</v>
      </c>
      <c r="D677" s="53"/>
      <c r="E677"/>
    </row>
    <row r="678" spans="1:5">
      <c r="A678" s="17" t="s">
        <v>1272</v>
      </c>
      <c r="B678" s="17" t="s">
        <v>1273</v>
      </c>
      <c r="C678" s="56">
        <v>694018.53097519767</v>
      </c>
      <c r="D678" s="53"/>
      <c r="E678"/>
    </row>
    <row r="679" spans="1:5">
      <c r="A679" s="17" t="s">
        <v>1274</v>
      </c>
      <c r="B679" s="17" t="s">
        <v>1275</v>
      </c>
      <c r="C679" s="56">
        <v>567379.30156263488</v>
      </c>
      <c r="D679" s="53"/>
      <c r="E679"/>
    </row>
    <row r="680" spans="1:5">
      <c r="A680" s="17" t="s">
        <v>1276</v>
      </c>
      <c r="B680" s="17" t="s">
        <v>1277</v>
      </c>
      <c r="C680" s="56">
        <v>567379.30156263488</v>
      </c>
      <c r="D680" s="53"/>
      <c r="E680"/>
    </row>
    <row r="681" spans="1:5">
      <c r="A681" s="17" t="s">
        <v>1278</v>
      </c>
      <c r="B681" s="17" t="s">
        <v>1279</v>
      </c>
      <c r="C681" s="56">
        <v>541221.86714520049</v>
      </c>
      <c r="D681" s="53"/>
      <c r="E681"/>
    </row>
    <row r="682" spans="1:5" ht="28.8">
      <c r="A682" s="17" t="s">
        <v>1280</v>
      </c>
      <c r="B682" s="17" t="s">
        <v>1281</v>
      </c>
      <c r="C682" s="56">
        <v>1177423.1563498231</v>
      </c>
      <c r="D682" s="53"/>
      <c r="E682"/>
    </row>
    <row r="683" spans="1:5" ht="28.8">
      <c r="A683" s="17" t="s">
        <v>1282</v>
      </c>
      <c r="B683" s="17" t="s">
        <v>1283</v>
      </c>
      <c r="C683" s="56">
        <v>887532.7545294211</v>
      </c>
      <c r="D683" s="53"/>
      <c r="E683"/>
    </row>
    <row r="684" spans="1:5" ht="28.8">
      <c r="A684" s="17" t="s">
        <v>1284</v>
      </c>
      <c r="B684" s="17" t="s">
        <v>1285</v>
      </c>
      <c r="C684" s="56">
        <v>887532.7545294211</v>
      </c>
      <c r="D684" s="53"/>
      <c r="E684"/>
    </row>
    <row r="685" spans="1:5">
      <c r="A685" s="17" t="s">
        <v>1286</v>
      </c>
      <c r="B685" s="17" t="s">
        <v>1287</v>
      </c>
      <c r="C685" s="56">
        <v>724450.88590421923</v>
      </c>
      <c r="D685" s="53"/>
      <c r="E685"/>
    </row>
    <row r="686" spans="1:5">
      <c r="A686" s="17" t="s">
        <v>1288</v>
      </c>
      <c r="B686" s="17" t="s">
        <v>1289</v>
      </c>
      <c r="C686" s="56">
        <v>724450.88590421923</v>
      </c>
      <c r="D686" s="53"/>
      <c r="E686"/>
    </row>
    <row r="687" spans="1:5" ht="28.8">
      <c r="A687" s="17" t="s">
        <v>1290</v>
      </c>
      <c r="B687" s="17" t="s">
        <v>1291</v>
      </c>
      <c r="C687" s="56">
        <v>1103606.7071200404</v>
      </c>
      <c r="D687" s="53"/>
      <c r="E687"/>
    </row>
    <row r="688" spans="1:5" ht="28.8">
      <c r="A688" s="17" t="s">
        <v>1292</v>
      </c>
      <c r="B688" s="17" t="s">
        <v>1293</v>
      </c>
      <c r="C688" s="56">
        <v>1056794.2112208779</v>
      </c>
      <c r="D688" s="53"/>
      <c r="E688"/>
    </row>
    <row r="689" spans="1:5" ht="28.8">
      <c r="A689" s="17" t="s">
        <v>1294</v>
      </c>
      <c r="B689" s="17" t="s">
        <v>1295</v>
      </c>
      <c r="C689" s="56">
        <v>2174368.4804084804</v>
      </c>
      <c r="D689" s="53"/>
      <c r="E689"/>
    </row>
    <row r="690" spans="1:5" ht="28.8">
      <c r="A690" s="17" t="s">
        <v>1296</v>
      </c>
      <c r="B690" s="17" t="s">
        <v>1297</v>
      </c>
      <c r="C690" s="56">
        <v>1871441.6873250206</v>
      </c>
      <c r="D690" s="53"/>
      <c r="E690"/>
    </row>
    <row r="691" spans="1:5" ht="28.8">
      <c r="A691" s="17" t="s">
        <v>1298</v>
      </c>
      <c r="B691" s="17" t="s">
        <v>1299</v>
      </c>
      <c r="C691" s="56">
        <v>1871441.6873250206</v>
      </c>
      <c r="D691" s="53"/>
      <c r="E691"/>
    </row>
    <row r="692" spans="1:5">
      <c r="A692" s="17" t="s">
        <v>1300</v>
      </c>
      <c r="B692" s="17" t="s">
        <v>1301</v>
      </c>
      <c r="C692" s="56">
        <v>1277764.8000147999</v>
      </c>
      <c r="D692" s="53"/>
      <c r="E692"/>
    </row>
    <row r="693" spans="1:5">
      <c r="A693" s="17" t="s">
        <v>1302</v>
      </c>
      <c r="B693" s="17" t="s">
        <v>1303</v>
      </c>
      <c r="C693" s="56">
        <v>440570.76836743503</v>
      </c>
      <c r="D693" s="53"/>
      <c r="E693"/>
    </row>
    <row r="694" spans="1:5" ht="28.8">
      <c r="A694" s="17" t="s">
        <v>1304</v>
      </c>
      <c r="B694" s="17" t="s">
        <v>1305</v>
      </c>
      <c r="C694" s="56">
        <v>483023.6918636919</v>
      </c>
      <c r="D694" s="53"/>
      <c r="E694"/>
    </row>
    <row r="695" spans="1:5">
      <c r="A695" s="17"/>
      <c r="B695" s="17" t="s">
        <v>1306</v>
      </c>
      <c r="C695" s="56">
        <v>0</v>
      </c>
      <c r="D695" s="53"/>
      <c r="E695"/>
    </row>
    <row r="696" spans="1:5">
      <c r="A696" s="17" t="s">
        <v>1307</v>
      </c>
      <c r="B696" s="17" t="s">
        <v>1090</v>
      </c>
      <c r="C696" s="56">
        <v>1811127.214760548</v>
      </c>
      <c r="D696" s="53"/>
      <c r="E696"/>
    </row>
    <row r="697" spans="1:5" ht="28.8">
      <c r="A697" s="17" t="s">
        <v>1308</v>
      </c>
      <c r="B697" s="17" t="s">
        <v>1309</v>
      </c>
      <c r="C697" s="56">
        <v>1931925.4636721301</v>
      </c>
      <c r="D697" s="53"/>
      <c r="E697"/>
    </row>
    <row r="698" spans="1:5" ht="28.8">
      <c r="A698" s="17" t="s">
        <v>1310</v>
      </c>
      <c r="B698" s="17" t="s">
        <v>1311</v>
      </c>
      <c r="C698" s="56">
        <v>344194.59010125673</v>
      </c>
      <c r="D698" s="53"/>
      <c r="E698"/>
    </row>
    <row r="699" spans="1:5">
      <c r="A699" s="17" t="s">
        <v>1312</v>
      </c>
      <c r="B699" s="17" t="s">
        <v>1313</v>
      </c>
      <c r="C699" s="56">
        <v>3139230.737657404</v>
      </c>
      <c r="D699" s="53"/>
      <c r="E699"/>
    </row>
    <row r="700" spans="1:5">
      <c r="A700" s="17" t="s">
        <v>1314</v>
      </c>
      <c r="B700" s="17" t="s">
        <v>1315</v>
      </c>
      <c r="C700" s="56">
        <v>32167.718701052039</v>
      </c>
      <c r="D700" s="53"/>
      <c r="E700"/>
    </row>
    <row r="701" spans="1:5">
      <c r="A701" s="17" t="s">
        <v>1316</v>
      </c>
      <c r="B701" s="17" t="s">
        <v>1317</v>
      </c>
      <c r="C701" s="56">
        <v>84524.913481580137</v>
      </c>
      <c r="D701" s="53"/>
      <c r="E701"/>
    </row>
    <row r="702" spans="1:5">
      <c r="A702" s="17" t="s">
        <v>1318</v>
      </c>
      <c r="B702" s="17" t="s">
        <v>1319</v>
      </c>
      <c r="C702" s="56">
        <v>132649.51369618037</v>
      </c>
      <c r="D702" s="53"/>
      <c r="E702"/>
    </row>
    <row r="703" spans="1:5">
      <c r="A703" s="17" t="s">
        <v>1320</v>
      </c>
      <c r="B703" s="17" t="s">
        <v>1321</v>
      </c>
      <c r="C703" s="56">
        <v>301910.97038763697</v>
      </c>
      <c r="D703" s="53"/>
      <c r="E703"/>
    </row>
    <row r="704" spans="1:5" ht="28.8">
      <c r="A704" s="17" t="s">
        <v>1322</v>
      </c>
      <c r="B704" s="17" t="s">
        <v>1323</v>
      </c>
      <c r="C704" s="56">
        <v>30051.421418088088</v>
      </c>
      <c r="D704" s="53"/>
      <c r="E704"/>
    </row>
    <row r="705" spans="1:5">
      <c r="A705" s="17" t="s">
        <v>1324</v>
      </c>
      <c r="B705" s="17" t="s">
        <v>1325</v>
      </c>
      <c r="C705" s="56">
        <v>290194.97786164453</v>
      </c>
      <c r="D705" s="53"/>
      <c r="E705"/>
    </row>
    <row r="706" spans="1:5">
      <c r="A706" s="17" t="s">
        <v>1326</v>
      </c>
      <c r="B706" s="17" t="s">
        <v>1327</v>
      </c>
      <c r="C706" s="56">
        <v>2673.4606403697312</v>
      </c>
      <c r="D706" s="53"/>
      <c r="E706"/>
    </row>
    <row r="707" spans="1:5">
      <c r="A707" s="17" t="s">
        <v>1328</v>
      </c>
      <c r="B707" s="17" t="s">
        <v>1329</v>
      </c>
      <c r="C707" s="56">
        <v>6670.5690359023702</v>
      </c>
      <c r="D707" s="53"/>
      <c r="E707"/>
    </row>
    <row r="708" spans="1:5" ht="28.8">
      <c r="A708" s="17" t="s">
        <v>1330</v>
      </c>
      <c r="B708" s="17" t="s">
        <v>1331</v>
      </c>
      <c r="C708" s="56">
        <v>9481.011827678496</v>
      </c>
      <c r="D708" s="53"/>
      <c r="E708"/>
    </row>
    <row r="709" spans="1:5">
      <c r="A709" s="17" t="s">
        <v>1332</v>
      </c>
      <c r="B709" s="17" t="s">
        <v>1333</v>
      </c>
      <c r="C709" s="56">
        <v>845079.8310331644</v>
      </c>
      <c r="D709" s="53"/>
      <c r="E709"/>
    </row>
    <row r="710" spans="1:5">
      <c r="A710" s="17" t="s">
        <v>1334</v>
      </c>
      <c r="B710" s="17" t="s">
        <v>1335</v>
      </c>
      <c r="C710" s="56">
        <v>362225.44295210962</v>
      </c>
      <c r="D710" s="53"/>
      <c r="E710"/>
    </row>
    <row r="711" spans="1:5" ht="28.8">
      <c r="A711" s="17" t="s">
        <v>1336</v>
      </c>
      <c r="B711" s="17" t="s">
        <v>1337</v>
      </c>
      <c r="C711" s="56">
        <v>96757.111777111772</v>
      </c>
      <c r="D711" s="53"/>
      <c r="E711"/>
    </row>
    <row r="712" spans="1:5">
      <c r="A712" s="17" t="s">
        <v>1338</v>
      </c>
      <c r="B712" s="17" t="s">
        <v>1339</v>
      </c>
      <c r="C712" s="56">
        <v>664136.41333974677</v>
      </c>
      <c r="D712" s="53"/>
      <c r="E712"/>
    </row>
    <row r="713" spans="1:5" ht="28.8">
      <c r="A713" s="17" t="s">
        <v>1340</v>
      </c>
      <c r="B713" s="17" t="s">
        <v>1341</v>
      </c>
      <c r="C713" s="56">
        <v>815197.71339771326</v>
      </c>
      <c r="D713" s="53"/>
      <c r="E713"/>
    </row>
    <row r="714" spans="1:5" ht="28.8">
      <c r="A714" s="17" t="s">
        <v>1342</v>
      </c>
      <c r="B714" s="17" t="s">
        <v>1343</v>
      </c>
      <c r="C714" s="56">
        <v>166764.22589755923</v>
      </c>
      <c r="D714" s="53"/>
      <c r="E714"/>
    </row>
    <row r="715" spans="1:5" ht="28.8">
      <c r="A715" s="17" t="s">
        <v>1344</v>
      </c>
      <c r="B715" s="17" t="s">
        <v>1345</v>
      </c>
      <c r="C715" s="56">
        <v>320153.45296678634</v>
      </c>
      <c r="D715" s="53"/>
      <c r="E715"/>
    </row>
    <row r="716" spans="1:5" ht="28.8">
      <c r="A716" s="17" t="s">
        <v>1346</v>
      </c>
      <c r="B716" s="17" t="s">
        <v>1347</v>
      </c>
      <c r="C716" s="56">
        <v>422709.21929921932</v>
      </c>
      <c r="D716" s="53"/>
      <c r="E716"/>
    </row>
    <row r="717" spans="1:5">
      <c r="A717" s="17" t="s">
        <v>1348</v>
      </c>
      <c r="B717" s="17" t="s">
        <v>1349</v>
      </c>
      <c r="C717" s="56">
        <v>2022502.9873829875</v>
      </c>
      <c r="D717" s="53"/>
      <c r="E717"/>
    </row>
    <row r="718" spans="1:5">
      <c r="A718" s="17" t="s">
        <v>1350</v>
      </c>
      <c r="B718" s="17" t="s">
        <v>1351</v>
      </c>
      <c r="C718" s="56">
        <v>815197.71339771326</v>
      </c>
      <c r="D718" s="53"/>
      <c r="E718"/>
    </row>
    <row r="719" spans="1:5">
      <c r="A719" s="17"/>
      <c r="B719" s="17" t="s">
        <v>1352</v>
      </c>
      <c r="C719" s="56">
        <v>0</v>
      </c>
      <c r="D719" s="53"/>
      <c r="E719"/>
    </row>
    <row r="720" spans="1:5">
      <c r="A720" s="17" t="s">
        <v>1353</v>
      </c>
      <c r="B720" s="17" t="s">
        <v>1354</v>
      </c>
      <c r="C720" s="56">
        <v>22644.380927714261</v>
      </c>
      <c r="D720" s="53"/>
      <c r="E720"/>
    </row>
    <row r="721" spans="1:5">
      <c r="A721" s="17" t="s">
        <v>1355</v>
      </c>
      <c r="B721" s="17" t="s">
        <v>1356</v>
      </c>
      <c r="C721" s="56">
        <v>7301.2256262256278</v>
      </c>
      <c r="D721" s="53"/>
      <c r="E721"/>
    </row>
    <row r="722" spans="1:5">
      <c r="A722" s="17" t="s">
        <v>1357</v>
      </c>
      <c r="B722" s="17" t="s">
        <v>1358</v>
      </c>
      <c r="C722" s="56">
        <v>7301.2256262256278</v>
      </c>
      <c r="D722" s="53"/>
      <c r="E722"/>
    </row>
    <row r="723" spans="1:5">
      <c r="A723" s="17" t="s">
        <v>1359</v>
      </c>
      <c r="B723" s="17" t="s">
        <v>1360</v>
      </c>
      <c r="C723" s="56">
        <v>8232.3964307297647</v>
      </c>
      <c r="D723" s="53"/>
      <c r="E723"/>
    </row>
    <row r="724" spans="1:5" ht="28.8">
      <c r="A724" s="17" t="s">
        <v>1361</v>
      </c>
      <c r="B724" s="17" t="s">
        <v>1362</v>
      </c>
      <c r="C724" s="56">
        <v>47235.755355755355</v>
      </c>
      <c r="D724" s="53"/>
      <c r="E724"/>
    </row>
    <row r="725" spans="1:5">
      <c r="A725" s="17" t="s">
        <v>1363</v>
      </c>
      <c r="B725" s="17" t="s">
        <v>1364</v>
      </c>
      <c r="C725" s="56">
        <v>8571.0039960039958</v>
      </c>
      <c r="D725" s="53"/>
      <c r="E725"/>
    </row>
    <row r="726" spans="1:5">
      <c r="A726" s="17" t="s">
        <v>1365</v>
      </c>
      <c r="B726" s="17" t="s">
        <v>1366</v>
      </c>
      <c r="C726" s="56">
        <v>9074.6827493494147</v>
      </c>
      <c r="D726" s="53"/>
      <c r="E726"/>
    </row>
    <row r="727" spans="1:5">
      <c r="A727" s="17" t="s">
        <v>1367</v>
      </c>
      <c r="B727" s="17" t="s">
        <v>1368</v>
      </c>
      <c r="C727" s="56">
        <v>17671.082312748978</v>
      </c>
      <c r="D727" s="53"/>
      <c r="E727"/>
    </row>
    <row r="728" spans="1:5">
      <c r="A728" s="17" t="s">
        <v>1369</v>
      </c>
      <c r="B728" s="17" t="s">
        <v>1370</v>
      </c>
      <c r="C728" s="56">
        <v>11004.745871412541</v>
      </c>
      <c r="D728" s="53"/>
      <c r="E728"/>
    </row>
    <row r="729" spans="1:5">
      <c r="A729" s="17" t="s">
        <v>1371</v>
      </c>
      <c r="B729" s="17" t="s">
        <v>1372</v>
      </c>
      <c r="C729" s="56">
        <v>8571.0039960039958</v>
      </c>
      <c r="D729" s="53"/>
      <c r="E729"/>
    </row>
    <row r="730" spans="1:5">
      <c r="A730" s="17" t="s">
        <v>1373</v>
      </c>
      <c r="B730" s="17" t="s">
        <v>1374</v>
      </c>
      <c r="C730" s="56">
        <v>8621.7951307951316</v>
      </c>
      <c r="D730" s="53"/>
      <c r="E730"/>
    </row>
    <row r="731" spans="1:5" ht="28.8">
      <c r="A731" s="17" t="s">
        <v>1375</v>
      </c>
      <c r="B731" s="17" t="s">
        <v>1376</v>
      </c>
      <c r="C731" s="56">
        <v>9481.011827678496</v>
      </c>
      <c r="D731" s="53"/>
      <c r="E731"/>
    </row>
    <row r="732" spans="1:5">
      <c r="A732" s="17" t="s">
        <v>1377</v>
      </c>
      <c r="B732" s="17" t="s">
        <v>1378</v>
      </c>
      <c r="C732" s="56">
        <v>12486.153969487306</v>
      </c>
      <c r="D732" s="53"/>
      <c r="E732"/>
    </row>
    <row r="733" spans="1:5" ht="28.8">
      <c r="A733" s="17" t="s">
        <v>1379</v>
      </c>
      <c r="B733" s="17" t="s">
        <v>1380</v>
      </c>
      <c r="C733" s="56">
        <v>16684.88777888778</v>
      </c>
      <c r="D733" s="53"/>
      <c r="E733"/>
    </row>
    <row r="734" spans="1:5" ht="28.8">
      <c r="A734" s="17" t="s">
        <v>1381</v>
      </c>
      <c r="B734" s="17" t="s">
        <v>1382</v>
      </c>
      <c r="C734" s="56">
        <v>22051.81768848436</v>
      </c>
      <c r="D734" s="53"/>
      <c r="E734"/>
    </row>
    <row r="735" spans="1:5" ht="28.8">
      <c r="A735" s="17" t="s">
        <v>1383</v>
      </c>
      <c r="B735" s="17" t="s">
        <v>1384</v>
      </c>
      <c r="C735" s="56">
        <v>79742.081622081634</v>
      </c>
      <c r="D735" s="53"/>
      <c r="E735"/>
    </row>
    <row r="736" spans="1:5" ht="28.8">
      <c r="A736" s="17" t="s">
        <v>1385</v>
      </c>
      <c r="B736" s="17" t="s">
        <v>1386</v>
      </c>
      <c r="C736" s="56">
        <v>73943.427066760414</v>
      </c>
      <c r="D736" s="53"/>
      <c r="E736"/>
    </row>
    <row r="737" spans="1:5">
      <c r="A737" s="17"/>
      <c r="B737" s="17" t="s">
        <v>1387</v>
      </c>
      <c r="C737" s="56">
        <v>0</v>
      </c>
      <c r="D737" s="53"/>
      <c r="E737"/>
    </row>
    <row r="738" spans="1:5">
      <c r="A738" s="17" t="s">
        <v>1388</v>
      </c>
      <c r="B738" s="17" t="s">
        <v>1389</v>
      </c>
      <c r="C738" s="56">
        <v>6687.49941416608</v>
      </c>
      <c r="D738" s="53"/>
      <c r="E738"/>
    </row>
    <row r="739" spans="1:5">
      <c r="A739" s="17" t="s">
        <v>1390</v>
      </c>
      <c r="B739" s="17" t="s">
        <v>1391</v>
      </c>
      <c r="C739" s="56">
        <v>7851.462919796254</v>
      </c>
      <c r="D739" s="53"/>
      <c r="E739"/>
    </row>
    <row r="740" spans="1:5">
      <c r="A740" s="17" t="s">
        <v>1392</v>
      </c>
      <c r="B740" s="17" t="s">
        <v>1393</v>
      </c>
      <c r="C740" s="56">
        <v>7851.462919796254</v>
      </c>
      <c r="D740" s="53"/>
      <c r="E740"/>
    </row>
    <row r="741" spans="1:5">
      <c r="A741" s="17" t="s">
        <v>1394</v>
      </c>
      <c r="B741" s="17" t="s">
        <v>1395</v>
      </c>
      <c r="C741" s="56">
        <v>7610.2050295383624</v>
      </c>
      <c r="D741" s="53"/>
      <c r="E741"/>
    </row>
    <row r="742" spans="1:5" ht="28.8">
      <c r="A742" s="17" t="s">
        <v>1396</v>
      </c>
      <c r="B742" s="17" t="s">
        <v>1397</v>
      </c>
      <c r="C742" s="56">
        <v>8829.1922645255981</v>
      </c>
      <c r="D742" s="53"/>
      <c r="E742"/>
    </row>
    <row r="743" spans="1:5" ht="28.8">
      <c r="A743" s="17" t="s">
        <v>1398</v>
      </c>
      <c r="B743" s="17" t="s">
        <v>1399</v>
      </c>
      <c r="C743" s="56">
        <v>8537.1432394765743</v>
      </c>
      <c r="D743" s="53"/>
      <c r="E743"/>
    </row>
    <row r="744" spans="1:5" ht="28.8">
      <c r="A744" s="17" t="s">
        <v>1400</v>
      </c>
      <c r="B744" s="17" t="s">
        <v>1401</v>
      </c>
      <c r="C744" s="56">
        <v>7491.6923816923809</v>
      </c>
      <c r="D744" s="53"/>
      <c r="E744"/>
    </row>
    <row r="745" spans="1:5">
      <c r="A745" s="17" t="s">
        <v>1402</v>
      </c>
      <c r="B745" s="17" t="s">
        <v>1403</v>
      </c>
      <c r="C745" s="56">
        <v>9692.6415559748893</v>
      </c>
      <c r="D745" s="53"/>
      <c r="E745"/>
    </row>
    <row r="746" spans="1:5">
      <c r="A746" s="17" t="s">
        <v>1404</v>
      </c>
      <c r="B746" s="17" t="s">
        <v>1405</v>
      </c>
      <c r="C746" s="56">
        <v>9692.6415559748893</v>
      </c>
      <c r="D746" s="53"/>
      <c r="E746"/>
    </row>
    <row r="747" spans="1:5" ht="28.8">
      <c r="A747" s="17" t="s">
        <v>1406</v>
      </c>
      <c r="B747" s="17" t="s">
        <v>1407</v>
      </c>
      <c r="C747" s="56">
        <v>9692.6415559748893</v>
      </c>
      <c r="D747" s="53"/>
      <c r="E747"/>
    </row>
    <row r="748" spans="1:5">
      <c r="A748" s="17" t="s">
        <v>1408</v>
      </c>
      <c r="B748" s="17" t="s">
        <v>1409</v>
      </c>
      <c r="C748" s="56">
        <v>9692.6415559748893</v>
      </c>
      <c r="D748" s="53"/>
      <c r="E748"/>
    </row>
    <row r="749" spans="1:5">
      <c r="A749" s="17" t="s">
        <v>1410</v>
      </c>
      <c r="B749" s="17" t="s">
        <v>1411</v>
      </c>
      <c r="C749" s="56">
        <v>9692.6415559748893</v>
      </c>
      <c r="D749" s="53"/>
      <c r="E749"/>
    </row>
    <row r="750" spans="1:5">
      <c r="A750" s="17" t="s">
        <v>1412</v>
      </c>
      <c r="B750" s="17" t="s">
        <v>1413</v>
      </c>
      <c r="C750" s="56">
        <v>8719.1448058114729</v>
      </c>
      <c r="D750" s="53"/>
      <c r="E750"/>
    </row>
    <row r="751" spans="1:5">
      <c r="A751" s="17" t="s">
        <v>1414</v>
      </c>
      <c r="B751" s="17" t="s">
        <v>1415</v>
      </c>
      <c r="C751" s="56">
        <v>53330.69153069154</v>
      </c>
      <c r="D751" s="53"/>
      <c r="E751"/>
    </row>
    <row r="752" spans="1:5">
      <c r="A752" s="17" t="s">
        <v>1416</v>
      </c>
      <c r="B752" s="17" t="s">
        <v>1417</v>
      </c>
      <c r="C752" s="56">
        <v>72504.344914344925</v>
      </c>
      <c r="D752" s="53"/>
      <c r="E752"/>
    </row>
    <row r="753" spans="1:5">
      <c r="A753" s="17" t="s">
        <v>1418</v>
      </c>
      <c r="B753" s="17" t="s">
        <v>1419</v>
      </c>
      <c r="C753" s="56">
        <v>9861.9453386120058</v>
      </c>
      <c r="D753" s="53"/>
      <c r="E753"/>
    </row>
    <row r="754" spans="1:5">
      <c r="A754" s="17" t="s">
        <v>1420</v>
      </c>
      <c r="B754" s="17" t="s">
        <v>1421</v>
      </c>
      <c r="C754" s="56">
        <v>16845.726372393041</v>
      </c>
      <c r="D754" s="53"/>
      <c r="E754"/>
    </row>
    <row r="755" spans="1:5">
      <c r="A755" s="17" t="s">
        <v>1422</v>
      </c>
      <c r="B755" s="17" t="s">
        <v>1423</v>
      </c>
      <c r="C755" s="56">
        <v>74662.968142968151</v>
      </c>
      <c r="D755" s="53"/>
      <c r="E755"/>
    </row>
    <row r="756" spans="1:5">
      <c r="A756" s="17" t="s">
        <v>1424</v>
      </c>
      <c r="B756" s="17" t="s">
        <v>1425</v>
      </c>
      <c r="C756" s="56">
        <v>85117.476720810053</v>
      </c>
      <c r="D756" s="53"/>
      <c r="E756"/>
    </row>
    <row r="757" spans="1:5">
      <c r="A757" s="17" t="s">
        <v>1426</v>
      </c>
      <c r="B757" s="17" t="s">
        <v>1427</v>
      </c>
      <c r="C757" s="56">
        <v>54304.188280854956</v>
      </c>
      <c r="D757" s="53"/>
      <c r="E757"/>
    </row>
    <row r="758" spans="1:5" ht="28.8">
      <c r="A758" s="17" t="s">
        <v>1428</v>
      </c>
      <c r="B758" s="17" t="s">
        <v>1429</v>
      </c>
      <c r="C758" s="56">
        <v>181112.72147605481</v>
      </c>
      <c r="D758" s="53"/>
      <c r="E758"/>
    </row>
    <row r="759" spans="1:5" ht="28.8">
      <c r="A759" s="17" t="s">
        <v>1430</v>
      </c>
      <c r="B759" s="17" t="s">
        <v>1431</v>
      </c>
      <c r="C759" s="56">
        <v>66324.756848090183</v>
      </c>
      <c r="D759" s="53"/>
      <c r="E759"/>
    </row>
    <row r="760" spans="1:5" ht="28.8">
      <c r="A760" s="17" t="s">
        <v>1432</v>
      </c>
      <c r="B760" s="17" t="s">
        <v>1433</v>
      </c>
      <c r="C760" s="56">
        <v>108777.68034434701</v>
      </c>
      <c r="D760" s="53"/>
      <c r="E760"/>
    </row>
    <row r="761" spans="1:5" ht="28.8">
      <c r="A761" s="17" t="s">
        <v>1434</v>
      </c>
      <c r="B761" s="17" t="s">
        <v>1435</v>
      </c>
      <c r="C761" s="56">
        <v>392657.79788113118</v>
      </c>
      <c r="D761" s="53"/>
      <c r="E761"/>
    </row>
    <row r="762" spans="1:5" ht="28.8">
      <c r="A762" s="17" t="s">
        <v>1436</v>
      </c>
      <c r="B762" s="17" t="s">
        <v>1437</v>
      </c>
      <c r="C762" s="56">
        <v>63404.266597599919</v>
      </c>
      <c r="D762" s="53"/>
      <c r="E762"/>
    </row>
    <row r="763" spans="1:5" ht="28.8">
      <c r="A763" s="17" t="s">
        <v>1438</v>
      </c>
      <c r="B763" s="17" t="s">
        <v>1439</v>
      </c>
      <c r="C763" s="56">
        <v>96757.111777111772</v>
      </c>
      <c r="D763" s="53"/>
      <c r="E763"/>
    </row>
    <row r="764" spans="1:5" ht="28.8">
      <c r="A764" s="17" t="s">
        <v>1440</v>
      </c>
      <c r="B764" s="17" t="s">
        <v>1441</v>
      </c>
      <c r="C764" s="56">
        <v>120798.24891158224</v>
      </c>
      <c r="D764" s="53"/>
      <c r="E764"/>
    </row>
    <row r="765" spans="1:5" ht="28.8">
      <c r="A765" s="17" t="s">
        <v>1442</v>
      </c>
      <c r="B765" s="17" t="s">
        <v>1443</v>
      </c>
      <c r="C765" s="56">
        <v>603652.63699263707</v>
      </c>
      <c r="D765" s="53"/>
      <c r="E765"/>
    </row>
    <row r="766" spans="1:5" ht="28.8">
      <c r="A766" s="17" t="s">
        <v>1444</v>
      </c>
      <c r="B766" s="17" t="s">
        <v>1445</v>
      </c>
      <c r="C766" s="56">
        <v>694568.76826876821</v>
      </c>
      <c r="D766" s="53"/>
      <c r="E766"/>
    </row>
    <row r="767" spans="1:5" ht="28.8">
      <c r="A767" s="17" t="s">
        <v>1446</v>
      </c>
      <c r="B767" s="17" t="s">
        <v>1447</v>
      </c>
      <c r="C767" s="56">
        <v>784934.66225132893</v>
      </c>
      <c r="D767" s="53"/>
      <c r="E767"/>
    </row>
    <row r="768" spans="1:5" ht="28.8">
      <c r="A768" s="17" t="s">
        <v>1448</v>
      </c>
      <c r="B768" s="17" t="s">
        <v>1449</v>
      </c>
      <c r="C768" s="56">
        <v>163081.86862520195</v>
      </c>
      <c r="D768" s="53"/>
      <c r="E768"/>
    </row>
    <row r="769" spans="1:5" ht="28.8">
      <c r="A769" s="17" t="s">
        <v>1450</v>
      </c>
      <c r="B769" s="17" t="s">
        <v>1451</v>
      </c>
      <c r="C769" s="56">
        <v>157071.58434158433</v>
      </c>
      <c r="D769" s="53"/>
      <c r="E769"/>
    </row>
    <row r="770" spans="1:5">
      <c r="A770" s="17" t="s">
        <v>1452</v>
      </c>
      <c r="B770" s="17" t="s">
        <v>1453</v>
      </c>
      <c r="C770" s="56">
        <v>112460.03761670429</v>
      </c>
      <c r="D770" s="53"/>
      <c r="E770"/>
    </row>
    <row r="771" spans="1:5">
      <c r="A771" s="17" t="s">
        <v>1454</v>
      </c>
      <c r="B771" s="17" t="s">
        <v>1455</v>
      </c>
      <c r="C771" s="56">
        <v>56039.552052885389</v>
      </c>
      <c r="D771" s="53"/>
      <c r="E771"/>
    </row>
    <row r="772" spans="1:5">
      <c r="A772" s="17" t="s">
        <v>1456</v>
      </c>
      <c r="B772" s="17" t="s">
        <v>1457</v>
      </c>
      <c r="C772" s="56">
        <v>74832.271925605266</v>
      </c>
      <c r="D772" s="53"/>
      <c r="E772"/>
    </row>
    <row r="773" spans="1:5">
      <c r="A773" s="17" t="s">
        <v>1458</v>
      </c>
      <c r="B773" s="17" t="s">
        <v>1459</v>
      </c>
      <c r="C773" s="56">
        <v>47108.777518777526</v>
      </c>
      <c r="D773" s="53"/>
      <c r="E773"/>
    </row>
    <row r="774" spans="1:5">
      <c r="A774" s="17" t="s">
        <v>1460</v>
      </c>
      <c r="B774" s="17" t="s">
        <v>1461</v>
      </c>
      <c r="C774" s="56">
        <v>32866.096804430141</v>
      </c>
      <c r="D774" s="53"/>
      <c r="E774"/>
    </row>
    <row r="775" spans="1:5">
      <c r="A775" s="17" t="s">
        <v>1462</v>
      </c>
      <c r="B775" s="17" t="s">
        <v>1463</v>
      </c>
      <c r="C775" s="56">
        <v>187123.00575967244</v>
      </c>
      <c r="D775" s="53"/>
      <c r="E775"/>
    </row>
    <row r="776" spans="1:5">
      <c r="A776" s="17" t="s">
        <v>1464</v>
      </c>
      <c r="B776" s="17" t="s">
        <v>1465</v>
      </c>
      <c r="C776" s="56">
        <v>72335.041131707781</v>
      </c>
      <c r="D776" s="53"/>
      <c r="E776"/>
    </row>
    <row r="777" spans="1:5">
      <c r="A777" s="17" t="s">
        <v>1466</v>
      </c>
      <c r="B777" s="17" t="s">
        <v>1467</v>
      </c>
      <c r="C777" s="56">
        <v>150680.36654703322</v>
      </c>
      <c r="D777" s="53"/>
      <c r="E777"/>
    </row>
    <row r="778" spans="1:5">
      <c r="A778" s="17" t="s">
        <v>1468</v>
      </c>
      <c r="B778" s="17" t="s">
        <v>1469</v>
      </c>
      <c r="C778" s="56">
        <v>21713.210123210119</v>
      </c>
      <c r="D778" s="53"/>
      <c r="E778"/>
    </row>
    <row r="779" spans="1:5">
      <c r="A779" s="17" t="s">
        <v>1470</v>
      </c>
      <c r="B779" s="17" t="s">
        <v>1471</v>
      </c>
      <c r="C779" s="56">
        <v>28316.057646057649</v>
      </c>
      <c r="D779" s="53"/>
      <c r="E779"/>
    </row>
    <row r="780" spans="1:5">
      <c r="A780" s="17" t="s">
        <v>1472</v>
      </c>
      <c r="B780" s="17" t="s">
        <v>1473</v>
      </c>
      <c r="C780" s="56">
        <v>31596.31843465177</v>
      </c>
      <c r="D780" s="53"/>
      <c r="E780"/>
    </row>
    <row r="781" spans="1:5">
      <c r="A781" s="17" t="s">
        <v>1474</v>
      </c>
      <c r="B781" s="17" t="s">
        <v>1475</v>
      </c>
      <c r="C781" s="56">
        <v>38770.566223899557</v>
      </c>
      <c r="D781" s="53"/>
      <c r="E781"/>
    </row>
    <row r="782" spans="1:5">
      <c r="A782" s="17" t="s">
        <v>1476</v>
      </c>
      <c r="B782" s="17" t="s">
        <v>1477</v>
      </c>
      <c r="C782" s="56">
        <v>19385.283111949779</v>
      </c>
      <c r="D782" s="53"/>
      <c r="E782"/>
    </row>
    <row r="783" spans="1:5">
      <c r="A783" s="17" t="s">
        <v>1478</v>
      </c>
      <c r="B783" s="17" t="s">
        <v>1479</v>
      </c>
      <c r="C783" s="56">
        <v>19385.283111949779</v>
      </c>
      <c r="D783" s="53"/>
      <c r="E783"/>
    </row>
    <row r="784" spans="1:5">
      <c r="A784" s="17" t="s">
        <v>1480</v>
      </c>
      <c r="B784" s="17" t="s">
        <v>1481</v>
      </c>
      <c r="C784" s="56">
        <v>57986.545553212221</v>
      </c>
      <c r="D784" s="53"/>
      <c r="E784"/>
    </row>
    <row r="785" spans="1:5">
      <c r="A785" s="17" t="s">
        <v>1482</v>
      </c>
      <c r="B785" s="17" t="s">
        <v>1483</v>
      </c>
      <c r="C785" s="56">
        <v>35088.208951542285</v>
      </c>
      <c r="D785" s="53"/>
      <c r="E785"/>
    </row>
    <row r="786" spans="1:5">
      <c r="A786" s="17" t="s">
        <v>1484</v>
      </c>
      <c r="B786" s="17" t="s">
        <v>1485</v>
      </c>
      <c r="C786" s="56">
        <v>35088.208951542285</v>
      </c>
      <c r="D786" s="53"/>
      <c r="E786"/>
    </row>
    <row r="787" spans="1:5">
      <c r="A787" s="17" t="s">
        <v>1486</v>
      </c>
      <c r="B787" s="17" t="s">
        <v>1487</v>
      </c>
      <c r="C787" s="56">
        <v>35088.208951542285</v>
      </c>
      <c r="D787" s="53"/>
      <c r="E787"/>
    </row>
    <row r="788" spans="1:5">
      <c r="A788" s="17" t="s">
        <v>1488</v>
      </c>
      <c r="B788" s="17" t="s">
        <v>1489</v>
      </c>
      <c r="C788" s="56">
        <v>35088.208951542285</v>
      </c>
      <c r="D788" s="53"/>
      <c r="E788"/>
    </row>
    <row r="789" spans="1:5">
      <c r="A789" s="17" t="s">
        <v>1490</v>
      </c>
      <c r="B789" s="17" t="s">
        <v>1491</v>
      </c>
      <c r="C789" s="56">
        <v>12782.435589102257</v>
      </c>
      <c r="D789" s="53"/>
      <c r="E789"/>
    </row>
    <row r="790" spans="1:5" ht="28.8">
      <c r="A790" s="17" t="s">
        <v>1492</v>
      </c>
      <c r="B790" s="17" t="s">
        <v>1493</v>
      </c>
      <c r="C790" s="56">
        <v>13374.99882833216</v>
      </c>
      <c r="D790" s="53"/>
      <c r="E790"/>
    </row>
    <row r="791" spans="1:5" ht="28.8">
      <c r="A791" s="17" t="s">
        <v>1494</v>
      </c>
      <c r="B791" s="17" t="s">
        <v>1495</v>
      </c>
      <c r="C791" s="56">
        <v>15279.666382999718</v>
      </c>
      <c r="D791" s="53"/>
      <c r="E791"/>
    </row>
    <row r="792" spans="1:5" ht="28.8">
      <c r="A792" s="17" t="s">
        <v>1496</v>
      </c>
      <c r="B792" s="17" t="s">
        <v>1497</v>
      </c>
      <c r="C792" s="56">
        <v>14898.732872066201</v>
      </c>
      <c r="D792" s="53"/>
      <c r="E792"/>
    </row>
    <row r="793" spans="1:5" ht="28.8">
      <c r="A793" s="17" t="s">
        <v>1498</v>
      </c>
      <c r="B793" s="17" t="s">
        <v>1499</v>
      </c>
      <c r="C793" s="56">
        <v>14602.45125245125</v>
      </c>
      <c r="D793" s="53"/>
      <c r="E793"/>
    </row>
    <row r="794" spans="1:5" ht="28.8">
      <c r="A794" s="17" t="s">
        <v>1500</v>
      </c>
      <c r="B794" s="17" t="s">
        <v>1501</v>
      </c>
      <c r="C794" s="56">
        <v>20951.343101343104</v>
      </c>
      <c r="D794" s="53"/>
      <c r="E794"/>
    </row>
    <row r="795" spans="1:5" ht="28.8">
      <c r="A795" s="17" t="s">
        <v>1502</v>
      </c>
      <c r="B795" s="17" t="s">
        <v>1503</v>
      </c>
      <c r="C795" s="56">
        <v>10454.508577841911</v>
      </c>
      <c r="D795" s="53"/>
      <c r="E795"/>
    </row>
    <row r="796" spans="1:5">
      <c r="A796" s="17" t="s">
        <v>1504</v>
      </c>
      <c r="B796" s="17" t="s">
        <v>1505</v>
      </c>
      <c r="C796" s="56">
        <v>131167.73966773966</v>
      </c>
      <c r="D796" s="53"/>
      <c r="E796"/>
    </row>
    <row r="797" spans="1:5">
      <c r="A797" s="17"/>
      <c r="B797" s="17" t="s">
        <v>1506</v>
      </c>
      <c r="C797" s="56">
        <v>0</v>
      </c>
      <c r="D797" s="53"/>
      <c r="E797"/>
    </row>
    <row r="798" spans="1:5">
      <c r="A798" s="17" t="s">
        <v>1507</v>
      </c>
      <c r="B798" s="17" t="s">
        <v>1508</v>
      </c>
      <c r="C798" s="56">
        <v>27714.956031622693</v>
      </c>
      <c r="D798" s="53"/>
      <c r="E798"/>
    </row>
    <row r="799" spans="1:5">
      <c r="A799" s="17" t="s">
        <v>1509</v>
      </c>
      <c r="B799" s="17" t="s">
        <v>1510</v>
      </c>
      <c r="C799" s="56">
        <v>828.33328287873746</v>
      </c>
      <c r="D799" s="53"/>
      <c r="E799"/>
    </row>
    <row r="800" spans="1:5">
      <c r="A800" s="17" t="s">
        <v>1511</v>
      </c>
      <c r="B800" s="17" t="s">
        <v>1512</v>
      </c>
      <c r="C800" s="56">
        <v>828.33328287873746</v>
      </c>
      <c r="D800" s="53"/>
      <c r="E800"/>
    </row>
    <row r="801" spans="1:5" ht="28.8">
      <c r="A801" s="17" t="s">
        <v>1513</v>
      </c>
      <c r="B801" s="17" t="s">
        <v>1514</v>
      </c>
      <c r="C801" s="56">
        <v>948.09231172867521</v>
      </c>
      <c r="D801" s="53"/>
      <c r="E801"/>
    </row>
    <row r="802" spans="1:5">
      <c r="A802" s="17" t="s">
        <v>1515</v>
      </c>
      <c r="B802" s="17" t="s">
        <v>1516</v>
      </c>
      <c r="C802" s="56">
        <v>10729.627224627227</v>
      </c>
      <c r="D802" s="53"/>
      <c r="E802"/>
    </row>
    <row r="803" spans="1:5">
      <c r="A803" s="17" t="s">
        <v>1517</v>
      </c>
      <c r="B803" s="17" t="s">
        <v>1518</v>
      </c>
      <c r="C803" s="56">
        <v>11309.492680159345</v>
      </c>
      <c r="D803" s="53"/>
      <c r="E803"/>
    </row>
    <row r="804" spans="1:5">
      <c r="A804" s="17" t="s">
        <v>1519</v>
      </c>
      <c r="B804" s="17" t="s">
        <v>1520</v>
      </c>
      <c r="C804" s="56">
        <v>13324.207693541024</v>
      </c>
      <c r="D804" s="53"/>
      <c r="E804"/>
    </row>
    <row r="805" spans="1:5">
      <c r="A805" s="17" t="s">
        <v>1521</v>
      </c>
      <c r="B805" s="17" t="s">
        <v>1522</v>
      </c>
      <c r="C805" s="56">
        <v>13015.228290228291</v>
      </c>
      <c r="D805" s="53"/>
      <c r="E805"/>
    </row>
    <row r="806" spans="1:5">
      <c r="A806" s="17" t="s">
        <v>1523</v>
      </c>
      <c r="B806" s="17" t="s">
        <v>1524</v>
      </c>
      <c r="C806" s="56">
        <v>1004.279256097438</v>
      </c>
      <c r="D806" s="53"/>
      <c r="E806"/>
    </row>
    <row r="807" spans="1:5">
      <c r="A807" s="17"/>
      <c r="B807" s="17" t="s">
        <v>1525</v>
      </c>
      <c r="C807" s="56">
        <v>0</v>
      </c>
      <c r="D807" s="53"/>
      <c r="E807"/>
    </row>
    <row r="808" spans="1:5" ht="28.8">
      <c r="A808" s="17" t="s">
        <v>1526</v>
      </c>
      <c r="B808" s="17" t="s">
        <v>1527</v>
      </c>
      <c r="C808" s="56">
        <v>151230.60384060384</v>
      </c>
      <c r="D808" s="53"/>
      <c r="E808"/>
    </row>
    <row r="809" spans="1:5" ht="28.8">
      <c r="A809" s="17" t="s">
        <v>1528</v>
      </c>
      <c r="B809" s="17" t="s">
        <v>1529</v>
      </c>
      <c r="C809" s="56">
        <v>452972.27044560376</v>
      </c>
      <c r="D809" s="53"/>
      <c r="E809"/>
    </row>
    <row r="810" spans="1:5" ht="28.8">
      <c r="A810" s="17" t="s">
        <v>1530</v>
      </c>
      <c r="B810" s="17" t="s">
        <v>1531</v>
      </c>
      <c r="C810" s="56">
        <v>833228.56624856615</v>
      </c>
      <c r="D810" s="53"/>
      <c r="E810"/>
    </row>
    <row r="811" spans="1:5">
      <c r="A811" s="17"/>
      <c r="B811" s="17" t="s">
        <v>1532</v>
      </c>
      <c r="C811" s="56">
        <v>0</v>
      </c>
      <c r="D811" s="53"/>
      <c r="E811"/>
    </row>
    <row r="812" spans="1:5" ht="28.8">
      <c r="A812" s="17" t="s">
        <v>1533</v>
      </c>
      <c r="B812" s="17" t="s">
        <v>1534</v>
      </c>
      <c r="C812" s="56">
        <v>12401.502078168745</v>
      </c>
      <c r="D812" s="53"/>
      <c r="E812"/>
    </row>
    <row r="813" spans="1:5">
      <c r="A813" s="17" t="s">
        <v>1535</v>
      </c>
      <c r="B813" s="17" t="s">
        <v>1536</v>
      </c>
      <c r="C813" s="56">
        <v>21713.210123210119</v>
      </c>
      <c r="D813" s="53"/>
      <c r="E813"/>
    </row>
    <row r="814" spans="1:5" ht="28.8">
      <c r="A814" s="17" t="s">
        <v>1537</v>
      </c>
      <c r="B814" s="17" t="s">
        <v>1538</v>
      </c>
      <c r="C814" s="56">
        <v>4211.0468117740847</v>
      </c>
      <c r="D814" s="53"/>
      <c r="E814"/>
    </row>
    <row r="815" spans="1:5">
      <c r="A815" s="17" t="s">
        <v>1539</v>
      </c>
      <c r="B815" s="17" t="s">
        <v>1540</v>
      </c>
      <c r="C815" s="56">
        <v>5956.4148982330798</v>
      </c>
      <c r="D815" s="53"/>
      <c r="E815"/>
    </row>
    <row r="816" spans="1:5">
      <c r="A816" s="17" t="s">
        <v>1541</v>
      </c>
      <c r="B816" s="17" t="s">
        <v>1542</v>
      </c>
      <c r="C816" s="56">
        <v>7064.5851118578403</v>
      </c>
      <c r="D816" s="53"/>
      <c r="E816"/>
    </row>
    <row r="817" spans="1:5">
      <c r="A817" s="17" t="s">
        <v>1543</v>
      </c>
      <c r="B817" s="17" t="s">
        <v>1544</v>
      </c>
      <c r="C817" s="56">
        <v>4453.459046004501</v>
      </c>
      <c r="D817" s="53"/>
      <c r="E817"/>
    </row>
    <row r="818" spans="1:5">
      <c r="A818" s="17" t="s">
        <v>1545</v>
      </c>
      <c r="B818" s="17" t="s">
        <v>1546</v>
      </c>
      <c r="C818" s="56">
        <v>5575.4813872995692</v>
      </c>
      <c r="D818" s="53"/>
      <c r="E818"/>
    </row>
    <row r="819" spans="1:5">
      <c r="A819" s="17" t="s">
        <v>1547</v>
      </c>
      <c r="B819" s="17" t="s">
        <v>1548</v>
      </c>
      <c r="C819" s="56">
        <v>205153.85861052529</v>
      </c>
      <c r="D819" s="53"/>
      <c r="E819"/>
    </row>
    <row r="820" spans="1:5">
      <c r="A820" s="17" t="s">
        <v>1549</v>
      </c>
      <c r="B820" s="17" t="s">
        <v>1550</v>
      </c>
      <c r="C820" s="56">
        <v>301910.97038763697</v>
      </c>
      <c r="D820" s="53"/>
      <c r="E820"/>
    </row>
    <row r="821" spans="1:5" ht="28.8">
      <c r="A821" s="17" t="s">
        <v>1551</v>
      </c>
      <c r="B821" s="17" t="s">
        <v>1552</v>
      </c>
      <c r="C821" s="56">
        <v>6920.2921152921163</v>
      </c>
      <c r="D821" s="53"/>
      <c r="E821"/>
    </row>
    <row r="822" spans="1:5">
      <c r="A822" s="17" t="s">
        <v>1553</v>
      </c>
      <c r="B822" s="17" t="s">
        <v>1554</v>
      </c>
      <c r="C822" s="56">
        <v>6983.7810337810351</v>
      </c>
      <c r="D822" s="53"/>
      <c r="E822"/>
    </row>
    <row r="823" spans="1:5">
      <c r="A823" s="17" t="s">
        <v>1555</v>
      </c>
      <c r="B823" s="17" t="s">
        <v>1556</v>
      </c>
      <c r="C823" s="56">
        <v>10090.505445172112</v>
      </c>
      <c r="D823" s="53"/>
      <c r="E823"/>
    </row>
    <row r="824" spans="1:5" ht="28.8">
      <c r="A824" s="17" t="s">
        <v>1557</v>
      </c>
      <c r="B824" s="17" t="s">
        <v>1558</v>
      </c>
      <c r="C824" s="56">
        <v>46346.910496910496</v>
      </c>
      <c r="D824" s="53"/>
      <c r="E824"/>
    </row>
    <row r="825" spans="1:5">
      <c r="A825" s="17" t="s">
        <v>1559</v>
      </c>
      <c r="B825" s="17" t="s">
        <v>1560</v>
      </c>
      <c r="C825" s="56">
        <v>13967.56206756207</v>
      </c>
      <c r="D825" s="53"/>
      <c r="E825"/>
    </row>
    <row r="826" spans="1:5">
      <c r="A826" s="17" t="s">
        <v>1561</v>
      </c>
      <c r="B826" s="17" t="s">
        <v>1562</v>
      </c>
      <c r="C826" s="56">
        <v>6044.1450401450402</v>
      </c>
      <c r="D826" s="53"/>
      <c r="E826"/>
    </row>
    <row r="827" spans="1:5">
      <c r="A827" s="17" t="s">
        <v>1563</v>
      </c>
      <c r="B827" s="17" t="s">
        <v>1564</v>
      </c>
      <c r="C827" s="56">
        <v>7732.9502719502725</v>
      </c>
      <c r="D827" s="53"/>
      <c r="E827"/>
    </row>
    <row r="828" spans="1:5">
      <c r="A828" s="17" t="s">
        <v>1565</v>
      </c>
      <c r="B828" s="17" t="s">
        <v>1566</v>
      </c>
      <c r="C828" s="56">
        <v>11047.071817071816</v>
      </c>
      <c r="D828" s="53"/>
      <c r="E828"/>
    </row>
    <row r="829" spans="1:5">
      <c r="A829" s="17" t="s">
        <v>1567</v>
      </c>
      <c r="B829" s="17" t="s">
        <v>1568</v>
      </c>
      <c r="C829" s="56">
        <v>87445.403732070408</v>
      </c>
      <c r="D829" s="53"/>
      <c r="E829"/>
    </row>
    <row r="830" spans="1:5">
      <c r="A830" s="17" t="s">
        <v>1569</v>
      </c>
      <c r="B830" s="17" t="s">
        <v>1570</v>
      </c>
      <c r="C830" s="56">
        <v>157071.58434158433</v>
      </c>
      <c r="D830" s="53"/>
      <c r="E830"/>
    </row>
    <row r="831" spans="1:5">
      <c r="A831" s="17"/>
      <c r="B831" s="17" t="s">
        <v>1571</v>
      </c>
      <c r="C831" s="56">
        <v>0</v>
      </c>
      <c r="D831" s="53"/>
      <c r="E831"/>
    </row>
    <row r="832" spans="1:5">
      <c r="A832" s="17" t="s">
        <v>1572</v>
      </c>
      <c r="B832" s="17" t="s">
        <v>1573</v>
      </c>
      <c r="C832" s="56">
        <v>27956.287107953776</v>
      </c>
      <c r="D832" s="53"/>
      <c r="E832"/>
    </row>
    <row r="833" spans="1:5">
      <c r="A833" s="17" t="s">
        <v>1574</v>
      </c>
      <c r="B833" s="17" t="s">
        <v>1575</v>
      </c>
      <c r="C833" s="56">
        <v>27956.287107953776</v>
      </c>
      <c r="D833" s="53"/>
      <c r="E833"/>
    </row>
    <row r="834" spans="1:5">
      <c r="A834" s="17" t="s">
        <v>1576</v>
      </c>
      <c r="B834" s="17" t="s">
        <v>1577</v>
      </c>
      <c r="C834" s="56">
        <v>35680.772190772193</v>
      </c>
      <c r="D834" s="53"/>
      <c r="E834"/>
    </row>
    <row r="835" spans="1:5">
      <c r="A835" s="17" t="s">
        <v>1578</v>
      </c>
      <c r="B835" s="17" t="s">
        <v>1579</v>
      </c>
      <c r="C835" s="56">
        <v>22559.7290363957</v>
      </c>
      <c r="D835" s="53"/>
      <c r="E835"/>
    </row>
    <row r="836" spans="1:5">
      <c r="A836" s="17" t="s">
        <v>1580</v>
      </c>
      <c r="B836" s="17" t="s">
        <v>1581</v>
      </c>
      <c r="C836" s="56">
        <v>39892.203783870449</v>
      </c>
      <c r="D836" s="53"/>
      <c r="E836"/>
    </row>
    <row r="837" spans="1:5">
      <c r="A837" s="17" t="s">
        <v>1582</v>
      </c>
      <c r="B837" s="17" t="s">
        <v>1583</v>
      </c>
      <c r="C837" s="56">
        <v>48082.274268940942</v>
      </c>
      <c r="D837" s="53"/>
      <c r="E837"/>
    </row>
    <row r="838" spans="1:5">
      <c r="A838" s="17" t="s">
        <v>1584</v>
      </c>
      <c r="B838" s="17" t="s">
        <v>1585</v>
      </c>
      <c r="C838" s="56">
        <v>30326.540064873399</v>
      </c>
      <c r="D838" s="53"/>
      <c r="E838"/>
    </row>
    <row r="839" spans="1:5">
      <c r="A839" s="17" t="s">
        <v>1586</v>
      </c>
      <c r="B839" s="17" t="s">
        <v>1587</v>
      </c>
      <c r="C839" s="56">
        <v>525307.3115773116</v>
      </c>
      <c r="D839" s="53"/>
      <c r="E839"/>
    </row>
    <row r="840" spans="1:5" ht="28.8">
      <c r="A840" s="17" t="s">
        <v>1588</v>
      </c>
      <c r="B840" s="17" t="s">
        <v>1589</v>
      </c>
      <c r="C840" s="56">
        <v>585833.41387008072</v>
      </c>
      <c r="D840" s="53"/>
      <c r="E840"/>
    </row>
    <row r="841" spans="1:5" ht="28.8">
      <c r="A841" s="17" t="s">
        <v>1590</v>
      </c>
      <c r="B841" s="17" t="s">
        <v>1591</v>
      </c>
      <c r="C841" s="56">
        <v>106322.77549610884</v>
      </c>
      <c r="D841" s="53"/>
      <c r="E841"/>
    </row>
    <row r="842" spans="1:5">
      <c r="A842" s="17" t="s">
        <v>1592</v>
      </c>
      <c r="B842" s="17" t="s">
        <v>1593</v>
      </c>
      <c r="C842" s="56">
        <v>452972.27044560376</v>
      </c>
      <c r="D842" s="53"/>
      <c r="E842"/>
    </row>
    <row r="843" spans="1:5">
      <c r="A843" s="17" t="s">
        <v>1594</v>
      </c>
      <c r="B843" s="17" t="s">
        <v>1595</v>
      </c>
      <c r="C843" s="56">
        <v>652115.84477251151</v>
      </c>
      <c r="D843" s="53"/>
      <c r="E843"/>
    </row>
    <row r="844" spans="1:5">
      <c r="A844" s="17" t="s">
        <v>1596</v>
      </c>
      <c r="B844" s="17" t="s">
        <v>1597</v>
      </c>
      <c r="C844" s="56">
        <v>448655.02398835728</v>
      </c>
      <c r="D844" s="53"/>
      <c r="E844"/>
    </row>
    <row r="845" spans="1:5">
      <c r="A845" s="17" t="s">
        <v>1598</v>
      </c>
      <c r="B845" s="17" t="s">
        <v>1599</v>
      </c>
      <c r="C845" s="56">
        <v>334360.33349366678</v>
      </c>
      <c r="D845" s="53"/>
      <c r="E845"/>
    </row>
    <row r="846" spans="1:5">
      <c r="A846" s="17" t="s">
        <v>1600</v>
      </c>
      <c r="B846" s="17" t="s">
        <v>1601</v>
      </c>
      <c r="C846" s="56">
        <v>77371.828665162015</v>
      </c>
      <c r="D846" s="53"/>
      <c r="E846"/>
    </row>
    <row r="847" spans="1:5">
      <c r="A847" s="17" t="s">
        <v>1602</v>
      </c>
      <c r="B847" s="17" t="s">
        <v>1603</v>
      </c>
      <c r="C847" s="56">
        <v>154151.09409109413</v>
      </c>
      <c r="D847" s="53"/>
      <c r="E847"/>
    </row>
    <row r="848" spans="1:5">
      <c r="A848" s="17" t="s">
        <v>1604</v>
      </c>
      <c r="B848" s="17" t="s">
        <v>1605</v>
      </c>
      <c r="C848" s="56">
        <v>18792.719872719874</v>
      </c>
      <c r="D848" s="53"/>
      <c r="E848"/>
    </row>
    <row r="849" spans="1:5">
      <c r="A849" s="17" t="s">
        <v>1606</v>
      </c>
      <c r="B849" s="17" t="s">
        <v>1607</v>
      </c>
      <c r="C849" s="56">
        <v>81435.11944845278</v>
      </c>
      <c r="D849" s="53"/>
      <c r="E849"/>
    </row>
    <row r="850" spans="1:5">
      <c r="A850" s="17" t="s">
        <v>1608</v>
      </c>
      <c r="B850" s="17" t="s">
        <v>1609</v>
      </c>
      <c r="C850" s="56">
        <v>163081.86862520195</v>
      </c>
      <c r="D850" s="53"/>
      <c r="E850"/>
    </row>
    <row r="851" spans="1:5">
      <c r="A851" s="17" t="s">
        <v>1610</v>
      </c>
      <c r="B851" s="17" t="s">
        <v>1611</v>
      </c>
      <c r="C851" s="56">
        <v>25141.611721611727</v>
      </c>
      <c r="D851" s="53"/>
      <c r="E851"/>
    </row>
    <row r="852" spans="1:5" ht="28.8">
      <c r="A852" s="17" t="s">
        <v>1612</v>
      </c>
      <c r="B852" s="17" t="s">
        <v>1613</v>
      </c>
      <c r="C852" s="56">
        <v>19554.586894586897</v>
      </c>
      <c r="D852" s="53"/>
      <c r="E852"/>
    </row>
    <row r="853" spans="1:5" ht="28.8">
      <c r="A853" s="17" t="s">
        <v>1614</v>
      </c>
      <c r="B853" s="17" t="s">
        <v>1615</v>
      </c>
      <c r="C853" s="56">
        <v>21289.950666617337</v>
      </c>
      <c r="D853" s="53"/>
      <c r="E853"/>
    </row>
    <row r="854" spans="1:5">
      <c r="A854" s="17"/>
      <c r="B854" s="17" t="s">
        <v>1616</v>
      </c>
      <c r="C854" s="56">
        <v>0</v>
      </c>
      <c r="D854" s="53"/>
      <c r="E854"/>
    </row>
    <row r="855" spans="1:5">
      <c r="A855" s="17" t="s">
        <v>1617</v>
      </c>
      <c r="B855" s="17" t="s">
        <v>1618</v>
      </c>
      <c r="C855" s="56">
        <v>1206966.6664199999</v>
      </c>
      <c r="D855" s="53"/>
      <c r="E855"/>
    </row>
    <row r="856" spans="1:5">
      <c r="A856" s="17" t="s">
        <v>1619</v>
      </c>
      <c r="B856" s="17" t="s">
        <v>1620</v>
      </c>
      <c r="C856" s="56">
        <v>933231.60234826908</v>
      </c>
      <c r="D856" s="53"/>
      <c r="E856"/>
    </row>
    <row r="857" spans="1:5" ht="28.8">
      <c r="A857" s="17" t="s">
        <v>1621</v>
      </c>
      <c r="B857" s="17" t="s">
        <v>1622</v>
      </c>
      <c r="C857" s="56">
        <v>2173352.6577126579</v>
      </c>
      <c r="D857" s="53"/>
      <c r="E857"/>
    </row>
    <row r="858" spans="1:5">
      <c r="A858" s="17" t="s">
        <v>1623</v>
      </c>
      <c r="B858" s="17" t="s">
        <v>1624</v>
      </c>
      <c r="C858" s="56">
        <v>60314.472564472562</v>
      </c>
      <c r="D858" s="53"/>
      <c r="E858"/>
    </row>
    <row r="859" spans="1:5">
      <c r="A859" s="17" t="s">
        <v>1625</v>
      </c>
      <c r="B859" s="17" t="s">
        <v>1626</v>
      </c>
      <c r="C859" s="56">
        <v>60314.472564472562</v>
      </c>
      <c r="D859" s="53"/>
      <c r="E859"/>
    </row>
    <row r="860" spans="1:5">
      <c r="A860" s="17" t="s">
        <v>1627</v>
      </c>
      <c r="B860" s="17" t="s">
        <v>1628</v>
      </c>
      <c r="C860" s="56">
        <v>60314.472564472562</v>
      </c>
      <c r="D860" s="53"/>
      <c r="E860"/>
    </row>
    <row r="861" spans="1:5" ht="28.8">
      <c r="A861" s="17" t="s">
        <v>1629</v>
      </c>
      <c r="B861" s="17" t="s">
        <v>1630</v>
      </c>
      <c r="C861" s="56">
        <v>163081.86862520195</v>
      </c>
      <c r="D861" s="53"/>
      <c r="E861"/>
    </row>
    <row r="862" spans="1:5">
      <c r="A862" s="17" t="s">
        <v>1631</v>
      </c>
      <c r="B862" s="17" t="s">
        <v>1632</v>
      </c>
      <c r="C862" s="56">
        <v>90746.827493494158</v>
      </c>
      <c r="D862" s="53"/>
      <c r="E862"/>
    </row>
    <row r="863" spans="1:5">
      <c r="A863" s="17" t="s">
        <v>1633</v>
      </c>
      <c r="B863" s="17" t="s">
        <v>1634</v>
      </c>
      <c r="C863" s="56">
        <v>90746.827493494158</v>
      </c>
      <c r="D863" s="53"/>
      <c r="E863"/>
    </row>
    <row r="864" spans="1:5">
      <c r="A864" s="17" t="s">
        <v>1635</v>
      </c>
      <c r="B864" s="17" t="s">
        <v>1636</v>
      </c>
      <c r="C864" s="56">
        <v>90746.827493494158</v>
      </c>
      <c r="D864" s="53"/>
      <c r="E864"/>
    </row>
    <row r="865" spans="1:5">
      <c r="A865" s="17" t="s">
        <v>1637</v>
      </c>
      <c r="B865" s="17" t="s">
        <v>1638</v>
      </c>
      <c r="C865" s="56">
        <v>253447.76260776262</v>
      </c>
      <c r="D865" s="53"/>
      <c r="E865"/>
    </row>
    <row r="866" spans="1:5" ht="28.8">
      <c r="A866" s="17" t="s">
        <v>1639</v>
      </c>
      <c r="B866" s="17" t="s">
        <v>1640</v>
      </c>
      <c r="C866" s="56">
        <v>313931.53895487229</v>
      </c>
      <c r="D866" s="53"/>
      <c r="E866"/>
    </row>
    <row r="867" spans="1:5">
      <c r="A867" s="17" t="s">
        <v>1641</v>
      </c>
      <c r="B867" s="17" t="s">
        <v>1642</v>
      </c>
      <c r="C867" s="56">
        <v>42071.989985323315</v>
      </c>
      <c r="D867" s="53"/>
      <c r="E867"/>
    </row>
    <row r="868" spans="1:5" ht="28.8">
      <c r="A868" s="17" t="s">
        <v>1643</v>
      </c>
      <c r="B868" s="17" t="s">
        <v>1644</v>
      </c>
      <c r="C868" s="56">
        <v>67721.513054846393</v>
      </c>
      <c r="D868" s="53"/>
      <c r="E868"/>
    </row>
    <row r="869" spans="1:5">
      <c r="A869" s="17" t="s">
        <v>1645</v>
      </c>
      <c r="B869" s="17" t="s">
        <v>1646</v>
      </c>
      <c r="C869" s="56">
        <v>109793.5030401697</v>
      </c>
      <c r="D869" s="53"/>
      <c r="E869"/>
    </row>
    <row r="870" spans="1:5">
      <c r="A870" s="17" t="s">
        <v>1647</v>
      </c>
      <c r="B870" s="17" t="s">
        <v>1648</v>
      </c>
      <c r="C870" s="56">
        <v>102767.3960607294</v>
      </c>
      <c r="D870" s="53"/>
      <c r="E870"/>
    </row>
    <row r="871" spans="1:5">
      <c r="A871" s="17" t="s">
        <v>1649</v>
      </c>
      <c r="B871" s="17" t="s">
        <v>1650</v>
      </c>
      <c r="C871" s="56">
        <v>108777.68034434701</v>
      </c>
      <c r="D871" s="53"/>
      <c r="E871"/>
    </row>
    <row r="872" spans="1:5">
      <c r="A872" s="17" t="s">
        <v>1651</v>
      </c>
      <c r="B872" s="17" t="s">
        <v>1652</v>
      </c>
      <c r="C872" s="56">
        <v>27681.168461168458</v>
      </c>
      <c r="D872" s="53"/>
      <c r="E872"/>
    </row>
    <row r="873" spans="1:5" ht="28.8">
      <c r="A873" s="17" t="s">
        <v>1653</v>
      </c>
      <c r="B873" s="17" t="s">
        <v>1654</v>
      </c>
      <c r="C873" s="56">
        <v>108777.68034434701</v>
      </c>
      <c r="D873" s="53"/>
      <c r="E873"/>
    </row>
    <row r="874" spans="1:5" ht="28.8">
      <c r="A874" s="17" t="s">
        <v>1655</v>
      </c>
      <c r="B874" s="17" t="s">
        <v>1656</v>
      </c>
      <c r="C874" s="56">
        <v>138829.10176243511</v>
      </c>
      <c r="D874" s="53"/>
      <c r="E874"/>
    </row>
    <row r="875" spans="1:5" ht="28.8">
      <c r="A875" s="17" t="s">
        <v>1657</v>
      </c>
      <c r="B875" s="17" t="s">
        <v>1658</v>
      </c>
      <c r="C875" s="56">
        <v>138829.10176243511</v>
      </c>
      <c r="D875" s="53"/>
      <c r="E875"/>
    </row>
    <row r="876" spans="1:5" ht="28.8">
      <c r="A876" s="17" t="s">
        <v>1659</v>
      </c>
      <c r="B876" s="17" t="s">
        <v>1660</v>
      </c>
      <c r="C876" s="56">
        <v>37416.135962802633</v>
      </c>
      <c r="D876" s="53"/>
      <c r="E876"/>
    </row>
    <row r="877" spans="1:5" ht="28.8">
      <c r="A877" s="17" t="s">
        <v>1661</v>
      </c>
      <c r="B877" s="17" t="s">
        <v>1662</v>
      </c>
      <c r="C877" s="56">
        <v>48463.207779874407</v>
      </c>
      <c r="D877" s="53"/>
      <c r="E877"/>
    </row>
    <row r="878" spans="1:5" ht="28.8">
      <c r="A878" s="17" t="s">
        <v>1663</v>
      </c>
      <c r="B878" s="17" t="s">
        <v>1664</v>
      </c>
      <c r="C878" s="56">
        <v>60483.776347109684</v>
      </c>
      <c r="D878" s="53"/>
      <c r="E878"/>
    </row>
    <row r="879" spans="1:5" ht="28.8">
      <c r="A879" s="17" t="s">
        <v>1665</v>
      </c>
      <c r="B879" s="17" t="s">
        <v>1666</v>
      </c>
      <c r="C879" s="56">
        <v>69414.550881217554</v>
      </c>
      <c r="D879" s="53"/>
      <c r="E879"/>
    </row>
    <row r="880" spans="1:5" ht="28.8">
      <c r="A880" s="17" t="s">
        <v>1667</v>
      </c>
      <c r="B880" s="17" t="s">
        <v>1668</v>
      </c>
      <c r="C880" s="56">
        <v>114618.66084532751</v>
      </c>
      <c r="D880" s="53"/>
      <c r="E880"/>
    </row>
    <row r="881" spans="1:5" ht="28.8">
      <c r="A881" s="17" t="s">
        <v>1669</v>
      </c>
      <c r="B881" s="17" t="s">
        <v>1670</v>
      </c>
      <c r="C881" s="56">
        <v>114618.66084532751</v>
      </c>
      <c r="D881" s="53"/>
      <c r="E881"/>
    </row>
    <row r="882" spans="1:5" ht="28.8">
      <c r="A882" s="17" t="s">
        <v>1671</v>
      </c>
      <c r="B882" s="17" t="s">
        <v>1672</v>
      </c>
      <c r="C882" s="56">
        <v>199143.57432690763</v>
      </c>
      <c r="D882" s="53"/>
      <c r="E882"/>
    </row>
    <row r="883" spans="1:5">
      <c r="A883" s="17" t="s">
        <v>1673</v>
      </c>
      <c r="B883" s="17" t="s">
        <v>1674</v>
      </c>
      <c r="C883" s="56">
        <v>105814.86414819748</v>
      </c>
      <c r="D883" s="53"/>
      <c r="E883"/>
    </row>
    <row r="884" spans="1:5" ht="28.8">
      <c r="A884" s="17" t="s">
        <v>1675</v>
      </c>
      <c r="B884" s="17" t="s">
        <v>1676</v>
      </c>
      <c r="C884" s="56">
        <v>76990.895154228492</v>
      </c>
      <c r="D884" s="53"/>
      <c r="E884"/>
    </row>
    <row r="885" spans="1:5">
      <c r="A885" s="77"/>
      <c r="B885" s="78" t="s">
        <v>2032</v>
      </c>
      <c r="C885" s="56">
        <v>0</v>
      </c>
      <c r="D885" s="53"/>
      <c r="E885"/>
    </row>
    <row r="886" spans="1:5">
      <c r="A886" s="77"/>
      <c r="B886" s="78"/>
      <c r="C886" s="56">
        <v>0</v>
      </c>
      <c r="D886" s="53"/>
      <c r="E886"/>
    </row>
    <row r="887" spans="1:5" ht="28.8">
      <c r="A887" s="17" t="s">
        <v>1678</v>
      </c>
      <c r="B887" s="17" t="s">
        <v>1679</v>
      </c>
      <c r="C887" s="56">
        <v>7512.855354522022</v>
      </c>
      <c r="D887" s="53"/>
      <c r="E887"/>
    </row>
    <row r="888" spans="1:5" ht="28.8">
      <c r="A888" s="17" t="s">
        <v>1680</v>
      </c>
      <c r="B888" s="17" t="s">
        <v>1681</v>
      </c>
      <c r="C888" s="56">
        <v>14179.191795858464</v>
      </c>
      <c r="D888" s="53"/>
      <c r="E888"/>
    </row>
    <row r="889" spans="1:5">
      <c r="A889" s="17" t="s">
        <v>1682</v>
      </c>
      <c r="B889" s="17" t="s">
        <v>1683</v>
      </c>
      <c r="C889" s="56">
        <v>2209.4143634143634</v>
      </c>
      <c r="D889" s="53"/>
      <c r="E889"/>
    </row>
    <row r="890" spans="1:5">
      <c r="A890" s="17" t="s">
        <v>1684</v>
      </c>
      <c r="B890" s="17" t="s">
        <v>1685</v>
      </c>
      <c r="C890" s="56">
        <v>3161.74814074814</v>
      </c>
      <c r="D890" s="53"/>
      <c r="E890"/>
    </row>
    <row r="891" spans="1:5">
      <c r="A891" s="17" t="s">
        <v>1686</v>
      </c>
      <c r="B891" s="17" t="s">
        <v>1687</v>
      </c>
      <c r="C891" s="56">
        <v>3916.689098780008</v>
      </c>
      <c r="D891" s="53"/>
      <c r="E891"/>
    </row>
    <row r="892" spans="1:5">
      <c r="A892" s="17" t="s">
        <v>1688</v>
      </c>
      <c r="B892" s="17" t="s">
        <v>1689</v>
      </c>
      <c r="C892" s="56">
        <v>7627.135407802075</v>
      </c>
      <c r="D892" s="53"/>
      <c r="E892"/>
    </row>
    <row r="893" spans="1:5">
      <c r="A893" s="17" t="s">
        <v>1690</v>
      </c>
      <c r="B893" s="17" t="s">
        <v>1691</v>
      </c>
      <c r="C893" s="56">
        <v>10496.834523501189</v>
      </c>
      <c r="D893" s="53"/>
      <c r="E893"/>
    </row>
    <row r="894" spans="1:5" ht="28.8">
      <c r="A894" s="17" t="s">
        <v>1692</v>
      </c>
      <c r="B894" s="17" t="s">
        <v>1693</v>
      </c>
      <c r="C894" s="56">
        <v>19364.120139120139</v>
      </c>
      <c r="D894" s="53"/>
      <c r="E894"/>
    </row>
    <row r="895" spans="1:5" ht="28.8">
      <c r="A895" s="17" t="s">
        <v>1694</v>
      </c>
      <c r="B895" s="17" t="s">
        <v>1695</v>
      </c>
      <c r="C895" s="56">
        <v>22665.5439005439</v>
      </c>
      <c r="D895" s="53"/>
      <c r="E895"/>
    </row>
    <row r="896" spans="1:5" ht="28.8">
      <c r="A896" s="17" t="s">
        <v>1696</v>
      </c>
      <c r="B896" s="17" t="s">
        <v>1697</v>
      </c>
      <c r="C896" s="56">
        <v>26898.138466471799</v>
      </c>
      <c r="D896" s="53"/>
      <c r="E896"/>
    </row>
    <row r="897" spans="1:5" ht="28.8">
      <c r="A897" s="17" t="s">
        <v>1698</v>
      </c>
      <c r="B897" s="17" t="s">
        <v>1699</v>
      </c>
      <c r="C897" s="56">
        <v>25382.869611869613</v>
      </c>
      <c r="D897" s="53"/>
      <c r="E897"/>
    </row>
    <row r="898" spans="1:5">
      <c r="A898" s="17" t="s">
        <v>1700</v>
      </c>
      <c r="B898" s="17" t="s">
        <v>1701</v>
      </c>
      <c r="C898" s="56">
        <v>6126.6806341806341</v>
      </c>
      <c r="D898" s="53"/>
      <c r="E898"/>
    </row>
    <row r="899" spans="1:5">
      <c r="A899" s="17" t="s">
        <v>1702</v>
      </c>
      <c r="B899" s="17" t="s">
        <v>1703</v>
      </c>
      <c r="C899" s="56">
        <v>7205.9922484922481</v>
      </c>
      <c r="D899" s="53"/>
      <c r="E899"/>
    </row>
    <row r="900" spans="1:5">
      <c r="A900" s="17" t="s">
        <v>1704</v>
      </c>
      <c r="B900" s="17" t="s">
        <v>1705</v>
      </c>
      <c r="C900" s="56">
        <v>7957.2777839444516</v>
      </c>
      <c r="D900" s="53"/>
      <c r="E900"/>
    </row>
    <row r="901" spans="1:5" ht="28.8">
      <c r="A901" s="17" t="s">
        <v>1706</v>
      </c>
      <c r="B901" s="17" t="s">
        <v>1707</v>
      </c>
      <c r="C901" s="56">
        <v>9311.7080450413796</v>
      </c>
      <c r="D901" s="53"/>
      <c r="E901"/>
    </row>
    <row r="902" spans="1:5" ht="28.8">
      <c r="A902" s="17" t="s">
        <v>1708</v>
      </c>
      <c r="B902" s="17" t="s">
        <v>1709</v>
      </c>
      <c r="C902" s="56">
        <v>14898.732872066201</v>
      </c>
      <c r="D902" s="53"/>
      <c r="E902"/>
    </row>
    <row r="903" spans="1:5" ht="28.8">
      <c r="A903" s="17" t="s">
        <v>1710</v>
      </c>
      <c r="B903" s="17" t="s">
        <v>1711</v>
      </c>
      <c r="C903" s="56">
        <v>7280.0626533959867</v>
      </c>
      <c r="D903" s="53"/>
      <c r="E903"/>
    </row>
    <row r="904" spans="1:5" ht="28.8">
      <c r="A904" s="17" t="s">
        <v>1712</v>
      </c>
      <c r="B904" s="17" t="s">
        <v>1713</v>
      </c>
      <c r="C904" s="56">
        <v>5650.5137455137465</v>
      </c>
      <c r="D904" s="53"/>
      <c r="E904"/>
    </row>
    <row r="905" spans="1:5" ht="28.8">
      <c r="A905" s="17" t="s">
        <v>1714</v>
      </c>
      <c r="B905" s="17" t="s">
        <v>1715</v>
      </c>
      <c r="C905" s="56">
        <v>4744.7385084051757</v>
      </c>
      <c r="D905" s="53"/>
      <c r="E905"/>
    </row>
    <row r="906" spans="1:5" ht="28.8">
      <c r="A906" s="17" t="s">
        <v>1716</v>
      </c>
      <c r="B906" s="17" t="s">
        <v>1717</v>
      </c>
      <c r="C906" s="56">
        <v>4396.6076053576053</v>
      </c>
      <c r="D906" s="53"/>
      <c r="E906"/>
    </row>
    <row r="907" spans="1:5" ht="28.8">
      <c r="A907" s="17" t="s">
        <v>1718</v>
      </c>
      <c r="B907" s="17" t="s">
        <v>1719</v>
      </c>
      <c r="C907" s="56">
        <v>4519.2566524384702</v>
      </c>
      <c r="D907" s="53"/>
      <c r="E907"/>
    </row>
    <row r="908" spans="1:5" ht="28.8">
      <c r="A908" s="17" t="s">
        <v>1720</v>
      </c>
      <c r="B908" s="17" t="s">
        <v>1721</v>
      </c>
      <c r="C908" s="56">
        <v>5904.4694194694193</v>
      </c>
      <c r="D908" s="53"/>
      <c r="E908"/>
    </row>
    <row r="909" spans="1:5" ht="28.8">
      <c r="A909" s="17" t="s">
        <v>1722</v>
      </c>
      <c r="B909" s="17" t="s">
        <v>1723</v>
      </c>
      <c r="C909" s="56">
        <v>5021.396280487189</v>
      </c>
      <c r="D909" s="53"/>
      <c r="E909"/>
    </row>
    <row r="910" spans="1:5" ht="28.8">
      <c r="A910" s="17" t="s">
        <v>1724</v>
      </c>
      <c r="B910" s="17" t="s">
        <v>1725</v>
      </c>
      <c r="C910" s="56">
        <v>9555.0822325822337</v>
      </c>
      <c r="D910" s="53"/>
      <c r="E910"/>
    </row>
    <row r="911" spans="1:5" ht="28.8">
      <c r="A911" s="17" t="s">
        <v>1726</v>
      </c>
      <c r="B911" s="17" t="s">
        <v>1727</v>
      </c>
      <c r="C911" s="56">
        <v>5777.4915824915834</v>
      </c>
      <c r="D911" s="53"/>
      <c r="E911"/>
    </row>
    <row r="912" spans="1:5" ht="28.8">
      <c r="A912" s="17" t="s">
        <v>1728</v>
      </c>
      <c r="B912" s="17" t="s">
        <v>1729</v>
      </c>
      <c r="C912" s="56">
        <v>6882.1987641987625</v>
      </c>
      <c r="D912" s="53"/>
      <c r="E912"/>
    </row>
    <row r="913" spans="1:5" ht="28.8">
      <c r="A913" s="17" t="s">
        <v>1730</v>
      </c>
      <c r="B913" s="17" t="s">
        <v>1731</v>
      </c>
      <c r="C913" s="56">
        <v>5637.8159618159616</v>
      </c>
      <c r="D913" s="53"/>
      <c r="E913"/>
    </row>
    <row r="914" spans="1:5" ht="28.8">
      <c r="A914" s="17" t="s">
        <v>1732</v>
      </c>
      <c r="B914" s="17" t="s">
        <v>1733</v>
      </c>
      <c r="C914" s="56">
        <v>7735.066569233235</v>
      </c>
      <c r="D914" s="53"/>
      <c r="E914"/>
    </row>
    <row r="915" spans="1:5" ht="28.8">
      <c r="A915" s="17" t="s">
        <v>1734</v>
      </c>
      <c r="B915" s="17" t="s">
        <v>1735</v>
      </c>
      <c r="C915" s="56">
        <v>7957.2777839444516</v>
      </c>
      <c r="D915" s="53"/>
      <c r="E915"/>
    </row>
    <row r="916" spans="1:5" ht="28.8">
      <c r="A916" s="17" t="s">
        <v>1736</v>
      </c>
      <c r="B916" s="17" t="s">
        <v>1737</v>
      </c>
      <c r="C916" s="56">
        <v>25014.63388463388</v>
      </c>
      <c r="D916" s="53"/>
      <c r="E916"/>
    </row>
    <row r="917" spans="1:5" ht="28.8">
      <c r="A917" s="17" t="s">
        <v>1738</v>
      </c>
      <c r="B917" s="17" t="s">
        <v>1739</v>
      </c>
      <c r="C917" s="56">
        <v>19808.542568542569</v>
      </c>
      <c r="D917" s="53"/>
      <c r="E917"/>
    </row>
    <row r="918" spans="1:5" ht="28.8">
      <c r="A918" s="17" t="s">
        <v>1740</v>
      </c>
      <c r="B918" s="17" t="s">
        <v>1741</v>
      </c>
      <c r="C918" s="56">
        <v>30686.310602977268</v>
      </c>
      <c r="D918" s="53"/>
      <c r="E918"/>
    </row>
    <row r="919" spans="1:5">
      <c r="A919" s="17" t="s">
        <v>1742</v>
      </c>
      <c r="B919" s="17" t="s">
        <v>1743</v>
      </c>
      <c r="C919" s="56">
        <v>14665.940170940172</v>
      </c>
      <c r="D919" s="53"/>
      <c r="E919"/>
    </row>
    <row r="920" spans="1:5">
      <c r="A920" s="17"/>
      <c r="B920" s="17" t="s">
        <v>923</v>
      </c>
      <c r="C920" s="56">
        <v>0</v>
      </c>
      <c r="D920" s="53"/>
      <c r="E920"/>
    </row>
    <row r="921" spans="1:5" ht="28.8">
      <c r="A921" s="17" t="s">
        <v>1744</v>
      </c>
      <c r="B921" s="17" t="s">
        <v>1745</v>
      </c>
      <c r="C921" s="56">
        <v>25183.937667270999</v>
      </c>
      <c r="D921" s="53"/>
      <c r="E921"/>
    </row>
    <row r="922" spans="1:5" ht="28.8">
      <c r="A922" s="17" t="s">
        <v>1746</v>
      </c>
      <c r="B922" s="17" t="s">
        <v>1747</v>
      </c>
      <c r="C922" s="56">
        <v>32929.585722919059</v>
      </c>
      <c r="D922" s="53"/>
      <c r="E922"/>
    </row>
    <row r="923" spans="1:5" ht="28.8">
      <c r="A923" s="17" t="s">
        <v>1748</v>
      </c>
      <c r="B923" s="17" t="s">
        <v>1749</v>
      </c>
      <c r="C923" s="56">
        <v>22475.077145077139</v>
      </c>
      <c r="D923" s="53"/>
      <c r="E923"/>
    </row>
    <row r="924" spans="1:5" ht="28.8">
      <c r="A924" s="17" t="s">
        <v>1750</v>
      </c>
      <c r="B924" s="17" t="s">
        <v>1751</v>
      </c>
      <c r="C924" s="56">
        <v>36992.876506209839</v>
      </c>
      <c r="D924" s="53"/>
      <c r="E924"/>
    </row>
    <row r="925" spans="1:5" ht="28.8">
      <c r="A925" s="17" t="s">
        <v>1752</v>
      </c>
      <c r="B925" s="17" t="s">
        <v>1753</v>
      </c>
      <c r="C925" s="56">
        <v>50537.179117179119</v>
      </c>
      <c r="D925" s="53"/>
      <c r="E925"/>
    </row>
    <row r="926" spans="1:5" ht="28.8">
      <c r="A926" s="17" t="s">
        <v>1754</v>
      </c>
      <c r="B926" s="17" t="s">
        <v>1755</v>
      </c>
      <c r="C926" s="56">
        <v>2597.2739381830293</v>
      </c>
      <c r="D926" s="53"/>
      <c r="E926"/>
    </row>
    <row r="927" spans="1:5" ht="28.8">
      <c r="A927" s="17" t="s">
        <v>1756</v>
      </c>
      <c r="B927" s="17" t="s">
        <v>1757</v>
      </c>
      <c r="C927" s="56">
        <v>2756.5734063915884</v>
      </c>
      <c r="D927" s="53"/>
      <c r="E927"/>
    </row>
    <row r="928" spans="1:5">
      <c r="A928" s="17" t="s">
        <v>1758</v>
      </c>
      <c r="B928" s="17" t="s">
        <v>1759</v>
      </c>
      <c r="C928" s="56">
        <v>7029.9547926820669</v>
      </c>
      <c r="D928" s="53"/>
      <c r="E928"/>
    </row>
    <row r="929" spans="1:5" ht="28.8">
      <c r="A929" s="17" t="s">
        <v>1760</v>
      </c>
      <c r="B929" s="17" t="s">
        <v>1761</v>
      </c>
      <c r="C929" s="56">
        <v>2787.7406936497846</v>
      </c>
      <c r="D929" s="53"/>
      <c r="E929"/>
    </row>
    <row r="930" spans="1:5">
      <c r="A930" s="17" t="s">
        <v>1762</v>
      </c>
      <c r="B930" s="17" t="s">
        <v>1763</v>
      </c>
      <c r="C930" s="56">
        <v>7597.5072458405793</v>
      </c>
      <c r="D930" s="53"/>
      <c r="E930"/>
    </row>
    <row r="931" spans="1:5">
      <c r="A931" s="17" t="s">
        <v>1764</v>
      </c>
      <c r="B931" s="17" t="s">
        <v>1765</v>
      </c>
      <c r="C931" s="56">
        <v>7597.5072458405793</v>
      </c>
      <c r="D931" s="53"/>
      <c r="E931"/>
    </row>
    <row r="932" spans="1:5" ht="28.8">
      <c r="A932" s="17" t="s">
        <v>1766</v>
      </c>
      <c r="B932" s="17" t="s">
        <v>1767</v>
      </c>
      <c r="C932" s="56">
        <v>13703.024907191573</v>
      </c>
      <c r="D932" s="53"/>
      <c r="E932"/>
    </row>
    <row r="933" spans="1:5">
      <c r="A933" s="17" t="s">
        <v>1768</v>
      </c>
      <c r="B933" s="17" t="s">
        <v>1769</v>
      </c>
      <c r="C933" s="56">
        <v>20739.713373046707</v>
      </c>
      <c r="D933" s="53"/>
      <c r="E933"/>
    </row>
    <row r="934" spans="1:5">
      <c r="A934" s="17" t="s">
        <v>1770</v>
      </c>
      <c r="B934" s="17" t="s">
        <v>1771</v>
      </c>
      <c r="C934" s="56">
        <v>20739.713373046707</v>
      </c>
      <c r="D934" s="53"/>
      <c r="E934"/>
    </row>
    <row r="935" spans="1:5" ht="28.8">
      <c r="A935" s="17" t="s">
        <v>1772</v>
      </c>
      <c r="B935" s="17" t="s">
        <v>1773</v>
      </c>
      <c r="C935" s="56">
        <v>27744.657379657376</v>
      </c>
      <c r="D935" s="53"/>
      <c r="E935"/>
    </row>
    <row r="936" spans="1:5" ht="28.8">
      <c r="A936" s="17" t="s">
        <v>1774</v>
      </c>
      <c r="B936" s="17" t="s">
        <v>1775</v>
      </c>
      <c r="C936" s="56">
        <v>13195.113559280226</v>
      </c>
      <c r="D936" s="53"/>
      <c r="E936"/>
    </row>
    <row r="937" spans="1:5">
      <c r="A937" s="17" t="s">
        <v>1776</v>
      </c>
      <c r="B937" s="17" t="s">
        <v>1777</v>
      </c>
      <c r="C937" s="56">
        <v>4086.377662741299</v>
      </c>
      <c r="D937" s="53"/>
      <c r="E937"/>
    </row>
    <row r="938" spans="1:5">
      <c r="A938" s="17" t="s">
        <v>1778</v>
      </c>
      <c r="B938" s="17" t="s">
        <v>1779</v>
      </c>
      <c r="C938" s="56">
        <v>4830.9295250204341</v>
      </c>
      <c r="D938" s="53"/>
      <c r="E938"/>
    </row>
    <row r="939" spans="1:5" ht="28.8">
      <c r="A939" s="17" t="s">
        <v>1780</v>
      </c>
      <c r="B939" s="17" t="s">
        <v>1781</v>
      </c>
      <c r="C939" s="56">
        <v>9100.0783167449827</v>
      </c>
      <c r="D939" s="53"/>
      <c r="E939"/>
    </row>
    <row r="940" spans="1:5">
      <c r="A940" s="17" t="s">
        <v>1782</v>
      </c>
      <c r="B940" s="17" t="s">
        <v>1783</v>
      </c>
      <c r="C940" s="56">
        <v>3289.8803216985034</v>
      </c>
      <c r="D940" s="53"/>
      <c r="E940"/>
    </row>
    <row r="941" spans="1:5">
      <c r="A941" s="17" t="s">
        <v>1784</v>
      </c>
      <c r="B941" s="17" t="s">
        <v>1785</v>
      </c>
      <c r="C941" s="56">
        <v>6380.6363081363088</v>
      </c>
      <c r="D941" s="53"/>
      <c r="E941"/>
    </row>
    <row r="942" spans="1:5">
      <c r="A942" s="17" t="s">
        <v>1786</v>
      </c>
      <c r="B942" s="17" t="s">
        <v>1787</v>
      </c>
      <c r="C942" s="56">
        <v>25480.21928688596</v>
      </c>
      <c r="D942" s="53"/>
      <c r="E942"/>
    </row>
    <row r="943" spans="1:5" ht="28.8">
      <c r="A943" s="17" t="s">
        <v>1788</v>
      </c>
      <c r="B943" s="17" t="s">
        <v>1789</v>
      </c>
      <c r="C943" s="56">
        <v>13459.650719650717</v>
      </c>
      <c r="D943" s="53"/>
      <c r="E943"/>
    </row>
    <row r="944" spans="1:5" ht="28.8">
      <c r="A944" s="17" t="s">
        <v>1790</v>
      </c>
      <c r="B944" s="17" t="s">
        <v>1791</v>
      </c>
      <c r="C944" s="56">
        <v>22295.191876025208</v>
      </c>
      <c r="D944" s="53"/>
      <c r="E944"/>
    </row>
    <row r="945" spans="1:5" ht="28.8">
      <c r="A945" s="17" t="s">
        <v>1792</v>
      </c>
      <c r="B945" s="17" t="s">
        <v>1793</v>
      </c>
      <c r="C945" s="56">
        <v>11131.723708390376</v>
      </c>
      <c r="D945" s="53"/>
      <c r="E945"/>
    </row>
    <row r="946" spans="1:5" ht="28.8">
      <c r="A946" s="17" t="s">
        <v>1794</v>
      </c>
      <c r="B946" s="17" t="s">
        <v>1795</v>
      </c>
      <c r="C946" s="56">
        <v>25014.633884633888</v>
      </c>
      <c r="D946" s="53"/>
      <c r="E946"/>
    </row>
    <row r="947" spans="1:5" ht="28.8">
      <c r="A947" s="17" t="s">
        <v>1796</v>
      </c>
      <c r="B947" s="17" t="s">
        <v>1797</v>
      </c>
      <c r="C947" s="56">
        <v>16380.14097014097</v>
      </c>
      <c r="D947" s="53"/>
      <c r="E947"/>
    </row>
    <row r="948" spans="1:5" ht="28.8">
      <c r="A948" s="17" t="s">
        <v>1798</v>
      </c>
      <c r="B948" s="17" t="s">
        <v>1799</v>
      </c>
      <c r="C948" s="56">
        <v>13341.13807180474</v>
      </c>
      <c r="D948" s="53"/>
      <c r="E948"/>
    </row>
    <row r="949" spans="1:5" ht="28.8">
      <c r="A949" s="17" t="s">
        <v>1800</v>
      </c>
      <c r="B949" s="17" t="s">
        <v>1801</v>
      </c>
      <c r="C949" s="56">
        <v>10547.625658292327</v>
      </c>
      <c r="D949" s="53"/>
      <c r="E949"/>
    </row>
    <row r="950" spans="1:5" ht="28.8">
      <c r="A950" s="17" t="s">
        <v>1802</v>
      </c>
      <c r="B950" s="17" t="s">
        <v>1803</v>
      </c>
      <c r="C950" s="56">
        <v>13650.117475117473</v>
      </c>
      <c r="D950" s="53"/>
      <c r="E950"/>
    </row>
    <row r="951" spans="1:5" ht="28.8">
      <c r="A951" s="17" t="s">
        <v>1804</v>
      </c>
      <c r="B951" s="17" t="s">
        <v>1805</v>
      </c>
      <c r="C951" s="56">
        <v>13341.13807180474</v>
      </c>
      <c r="D951" s="53"/>
      <c r="E951"/>
    </row>
    <row r="952" spans="1:5" ht="28.8">
      <c r="A952" s="17" t="s">
        <v>1806</v>
      </c>
      <c r="B952" s="17" t="s">
        <v>1807</v>
      </c>
      <c r="C952" s="56">
        <v>19565.168381001713</v>
      </c>
      <c r="D952" s="53"/>
      <c r="E952"/>
    </row>
    <row r="953" spans="1:5">
      <c r="A953" s="17"/>
      <c r="B953" s="17" t="s">
        <v>1808</v>
      </c>
      <c r="C953" s="56">
        <v>0</v>
      </c>
      <c r="D953" s="53"/>
      <c r="E953"/>
    </row>
    <row r="954" spans="1:5" ht="28.8">
      <c r="A954" s="17" t="s">
        <v>1809</v>
      </c>
      <c r="B954" s="17" t="s">
        <v>1810</v>
      </c>
      <c r="C954" s="56">
        <v>3421.4755345664439</v>
      </c>
      <c r="D954" s="53"/>
      <c r="E954"/>
    </row>
    <row r="955" spans="1:5" ht="28.8">
      <c r="A955" s="17" t="s">
        <v>1811</v>
      </c>
      <c r="B955" s="17" t="s">
        <v>1812</v>
      </c>
      <c r="C955" s="56">
        <v>4238.7510671147038</v>
      </c>
      <c r="D955" s="53"/>
      <c r="E955"/>
    </row>
    <row r="956" spans="1:5">
      <c r="A956" s="17" t="s">
        <v>1813</v>
      </c>
      <c r="B956" s="17" t="s">
        <v>1814</v>
      </c>
      <c r="C956" s="56">
        <v>21416.928503595169</v>
      </c>
      <c r="D956" s="53"/>
      <c r="E956"/>
    </row>
    <row r="957" spans="1:5" ht="28.8">
      <c r="A957" s="17" t="s">
        <v>1815</v>
      </c>
      <c r="B957" s="17" t="s">
        <v>1816</v>
      </c>
      <c r="C957" s="56">
        <v>17057.356100689434</v>
      </c>
      <c r="D957" s="53"/>
      <c r="E957"/>
    </row>
    <row r="958" spans="1:5" ht="28.8">
      <c r="A958" s="17" t="s">
        <v>1817</v>
      </c>
      <c r="B958" s="17" t="s">
        <v>1818</v>
      </c>
      <c r="C958" s="56">
        <v>10158.226958226956</v>
      </c>
      <c r="D958" s="53"/>
      <c r="E958"/>
    </row>
    <row r="959" spans="1:5" ht="28.8">
      <c r="A959" s="17" t="s">
        <v>1819</v>
      </c>
      <c r="B959" s="17" t="s">
        <v>1820</v>
      </c>
      <c r="C959" s="56">
        <v>15681.762866762867</v>
      </c>
      <c r="D959" s="53"/>
      <c r="E959"/>
    </row>
    <row r="960" spans="1:5" ht="28.8">
      <c r="A960" s="17" t="s">
        <v>1821</v>
      </c>
      <c r="B960" s="17" t="s">
        <v>1822</v>
      </c>
      <c r="C960" s="56">
        <v>20464.594726261395</v>
      </c>
      <c r="D960" s="53"/>
      <c r="E960"/>
    </row>
    <row r="961" spans="1:5" ht="28.8">
      <c r="A961" s="17" t="s">
        <v>1823</v>
      </c>
      <c r="B961" s="17" t="s">
        <v>1824</v>
      </c>
      <c r="C961" s="56">
        <v>17057.356100689434</v>
      </c>
      <c r="D961" s="53"/>
      <c r="E961"/>
    </row>
    <row r="962" spans="1:5" ht="28.8">
      <c r="A962" s="17" t="s">
        <v>1825</v>
      </c>
      <c r="B962" s="17" t="s">
        <v>1826</v>
      </c>
      <c r="C962" s="56">
        <v>43341.768355101696</v>
      </c>
      <c r="D962" s="53"/>
      <c r="E962"/>
    </row>
    <row r="963" spans="1:5">
      <c r="A963" s="17" t="s">
        <v>1827</v>
      </c>
      <c r="B963" s="17" t="s">
        <v>1828</v>
      </c>
      <c r="C963" s="56">
        <v>9100.0783167449827</v>
      </c>
      <c r="D963" s="53"/>
      <c r="E963"/>
    </row>
    <row r="964" spans="1:5">
      <c r="A964" s="17" t="s">
        <v>1829</v>
      </c>
      <c r="B964" s="17" t="s">
        <v>1830</v>
      </c>
      <c r="C964" s="56">
        <v>17925.037986704658</v>
      </c>
      <c r="D964" s="53"/>
      <c r="E964"/>
    </row>
    <row r="965" spans="1:5">
      <c r="A965" s="17" t="s">
        <v>1831</v>
      </c>
      <c r="B965" s="17" t="s">
        <v>1832</v>
      </c>
      <c r="C965" s="56">
        <v>13650.117475117473</v>
      </c>
      <c r="D965" s="53"/>
      <c r="E965"/>
    </row>
    <row r="966" spans="1:5" ht="28.8">
      <c r="A966" s="17" t="s">
        <v>1833</v>
      </c>
      <c r="B966" s="17" t="s">
        <v>1834</v>
      </c>
      <c r="C966" s="56">
        <v>29162.576559243225</v>
      </c>
      <c r="D966" s="53"/>
      <c r="E966"/>
    </row>
    <row r="967" spans="1:5" ht="28.8">
      <c r="A967" s="17" t="s">
        <v>1835</v>
      </c>
      <c r="B967" s="17" t="s">
        <v>1836</v>
      </c>
      <c r="C967" s="56">
        <v>58536.782846782851</v>
      </c>
      <c r="D967" s="53"/>
      <c r="E967"/>
    </row>
    <row r="968" spans="1:5">
      <c r="A968" s="17" t="s">
        <v>1837</v>
      </c>
      <c r="B968" s="17" t="s">
        <v>1838</v>
      </c>
      <c r="C968" s="56">
        <v>30940.26627693294</v>
      </c>
      <c r="D968" s="53"/>
      <c r="E968"/>
    </row>
    <row r="969" spans="1:5" ht="28.8">
      <c r="A969" s="17" t="s">
        <v>1839</v>
      </c>
      <c r="B969" s="17" t="s">
        <v>1840</v>
      </c>
      <c r="C969" s="56">
        <v>30940.26627693294</v>
      </c>
      <c r="D969" s="53"/>
      <c r="E969"/>
    </row>
    <row r="970" spans="1:5" ht="28.8">
      <c r="A970" s="17" t="s">
        <v>1841</v>
      </c>
      <c r="B970" s="17" t="s">
        <v>1842</v>
      </c>
      <c r="C970" s="56">
        <v>45119.4580727914</v>
      </c>
      <c r="D970" s="53"/>
      <c r="E970"/>
    </row>
    <row r="971" spans="1:5" ht="28.8">
      <c r="A971" s="17" t="s">
        <v>1843</v>
      </c>
      <c r="B971" s="17" t="s">
        <v>1844</v>
      </c>
      <c r="C971" s="56">
        <v>42706.879170212502</v>
      </c>
      <c r="D971" s="53"/>
      <c r="E971"/>
    </row>
    <row r="972" spans="1:5" ht="28.8">
      <c r="A972" s="17" t="s">
        <v>1845</v>
      </c>
      <c r="B972" s="17" t="s">
        <v>1846</v>
      </c>
      <c r="C972" s="56">
        <v>40495.348509515177</v>
      </c>
      <c r="D972" s="53"/>
      <c r="E972"/>
    </row>
    <row r="973" spans="1:5" ht="28.8">
      <c r="A973" s="17" t="s">
        <v>1847</v>
      </c>
      <c r="B973" s="17" t="s">
        <v>1848</v>
      </c>
      <c r="C973" s="56">
        <v>56928.396911730233</v>
      </c>
      <c r="D973" s="53"/>
      <c r="E973"/>
    </row>
    <row r="974" spans="1:5">
      <c r="A974" s="17" t="s">
        <v>1849</v>
      </c>
      <c r="B974" s="17" t="s">
        <v>1850</v>
      </c>
      <c r="C974" s="56">
        <v>182001.56633489963</v>
      </c>
      <c r="D974" s="53"/>
      <c r="E974"/>
    </row>
    <row r="975" spans="1:5" ht="28.8">
      <c r="A975" s="17" t="s">
        <v>1851</v>
      </c>
      <c r="B975" s="17" t="s">
        <v>1852</v>
      </c>
      <c r="C975" s="56">
        <v>9555.0822325822337</v>
      </c>
      <c r="D975" s="53"/>
      <c r="E975"/>
    </row>
    <row r="976" spans="1:5" ht="28.8">
      <c r="A976" s="17" t="s">
        <v>1853</v>
      </c>
      <c r="B976" s="17" t="s">
        <v>1854</v>
      </c>
      <c r="C976" s="56">
        <v>15300.829355829355</v>
      </c>
      <c r="D976" s="53"/>
      <c r="E976"/>
    </row>
    <row r="977" spans="1:5">
      <c r="A977" s="17" t="s">
        <v>1855</v>
      </c>
      <c r="B977" s="17" t="s">
        <v>1856</v>
      </c>
      <c r="C977" s="56">
        <v>28210.242781909448</v>
      </c>
      <c r="D977" s="53"/>
      <c r="E977"/>
    </row>
    <row r="978" spans="1:5" ht="28.8">
      <c r="A978" s="17" t="s">
        <v>1857</v>
      </c>
      <c r="B978" s="17" t="s">
        <v>1858</v>
      </c>
      <c r="C978" s="56">
        <v>55573.966650633323</v>
      </c>
      <c r="D978" s="53"/>
      <c r="E978"/>
    </row>
    <row r="979" spans="1:5" ht="28.8">
      <c r="A979" s="17" t="s">
        <v>1859</v>
      </c>
      <c r="B979" s="17" t="s">
        <v>1860</v>
      </c>
      <c r="C979" s="56">
        <v>61372.621205954536</v>
      </c>
      <c r="D979" s="53"/>
      <c r="E979"/>
    </row>
    <row r="980" spans="1:5" ht="28.8">
      <c r="A980" s="17" t="s">
        <v>1861</v>
      </c>
      <c r="B980" s="17" t="s">
        <v>1862</v>
      </c>
      <c r="C980" s="56">
        <v>79191.844328510982</v>
      </c>
      <c r="D980" s="53"/>
      <c r="E980"/>
    </row>
    <row r="981" spans="1:5" ht="28.8">
      <c r="A981" s="17" t="s">
        <v>1863</v>
      </c>
      <c r="B981" s="17" t="s">
        <v>1864</v>
      </c>
      <c r="C981" s="56">
        <v>52272.542889209552</v>
      </c>
      <c r="D981" s="53"/>
      <c r="E981"/>
    </row>
    <row r="982" spans="1:5" ht="28.8">
      <c r="A982" s="17" t="s">
        <v>1865</v>
      </c>
      <c r="B982" s="17" t="s">
        <v>1866</v>
      </c>
      <c r="C982" s="56">
        <v>72800.626533959861</v>
      </c>
      <c r="D982" s="53"/>
      <c r="E982"/>
    </row>
    <row r="983" spans="1:5" ht="28.8">
      <c r="A983" s="17" t="s">
        <v>1867</v>
      </c>
      <c r="B983" s="17" t="s">
        <v>1868</v>
      </c>
      <c r="C983" s="56">
        <v>101074.35823435824</v>
      </c>
      <c r="D983" s="53"/>
      <c r="E983"/>
    </row>
    <row r="984" spans="1:5" ht="28.8">
      <c r="A984" s="17" t="s">
        <v>1869</v>
      </c>
      <c r="B984" s="17" t="s">
        <v>1870</v>
      </c>
      <c r="C984" s="56">
        <v>181239.69931303264</v>
      </c>
      <c r="D984" s="53"/>
      <c r="E984"/>
    </row>
    <row r="985" spans="1:5" ht="28.8">
      <c r="A985" s="17" t="s">
        <v>1871</v>
      </c>
      <c r="B985" s="17" t="s">
        <v>1872</v>
      </c>
      <c r="C985" s="56">
        <v>102375.88106338106</v>
      </c>
      <c r="D985" s="53"/>
      <c r="E985"/>
    </row>
    <row r="986" spans="1:5" ht="28.8">
      <c r="A986" s="17" t="s">
        <v>1873</v>
      </c>
      <c r="B986" s="17" t="s">
        <v>1874</v>
      </c>
      <c r="C986" s="56">
        <v>117454.49920449923</v>
      </c>
      <c r="D986" s="53"/>
      <c r="E986"/>
    </row>
    <row r="987" spans="1:5" ht="28.8">
      <c r="A987" s="17" t="s">
        <v>1875</v>
      </c>
      <c r="B987" s="17" t="s">
        <v>1876</v>
      </c>
      <c r="C987" s="56">
        <v>13394.271160937828</v>
      </c>
      <c r="D987" s="53"/>
      <c r="E987"/>
    </row>
    <row r="988" spans="1:5" ht="28.8">
      <c r="A988" s="17" t="s">
        <v>1877</v>
      </c>
      <c r="B988" s="17" t="s">
        <v>1878</v>
      </c>
      <c r="C988" s="56">
        <v>30136.073309406638</v>
      </c>
      <c r="D988" s="53"/>
      <c r="E988"/>
    </row>
    <row r="989" spans="1:5" ht="28.8">
      <c r="A989" s="17" t="s">
        <v>1879</v>
      </c>
      <c r="B989" s="17" t="s">
        <v>1880</v>
      </c>
      <c r="C989" s="56">
        <v>75075.646113146126</v>
      </c>
      <c r="D989" s="53"/>
      <c r="E989"/>
    </row>
    <row r="990" spans="1:5" ht="28.8">
      <c r="A990" s="17" t="s">
        <v>1881</v>
      </c>
      <c r="B990" s="17" t="s">
        <v>1882</v>
      </c>
      <c r="C990" s="56">
        <v>32760.28194028194</v>
      </c>
      <c r="D990" s="53"/>
      <c r="E990"/>
    </row>
    <row r="991" spans="1:5" ht="28.8">
      <c r="A991" s="17" t="s">
        <v>1883</v>
      </c>
      <c r="B991" s="17" t="s">
        <v>1884</v>
      </c>
      <c r="C991" s="56">
        <v>43405.257273590607</v>
      </c>
      <c r="D991" s="53"/>
      <c r="E991"/>
    </row>
    <row r="992" spans="1:5" ht="28.8">
      <c r="A992" s="17" t="s">
        <v>1885</v>
      </c>
      <c r="B992" s="17" t="s">
        <v>1886</v>
      </c>
      <c r="C992" s="56">
        <v>54134.884498217827</v>
      </c>
      <c r="D992" s="53"/>
      <c r="E992"/>
    </row>
    <row r="993" spans="1:5" ht="28.8">
      <c r="A993" s="17" t="s">
        <v>1887</v>
      </c>
      <c r="B993" s="17" t="s">
        <v>1888</v>
      </c>
      <c r="C993" s="56">
        <v>75340.18327351661</v>
      </c>
      <c r="D993" s="53"/>
      <c r="E993"/>
    </row>
    <row r="994" spans="1:5" ht="28.8">
      <c r="A994" s="17" t="s">
        <v>1889</v>
      </c>
      <c r="B994" s="17" t="s">
        <v>1890</v>
      </c>
      <c r="C994" s="56">
        <v>71954.107620774288</v>
      </c>
      <c r="D994" s="53"/>
      <c r="E994"/>
    </row>
    <row r="995" spans="1:5" ht="28.8">
      <c r="A995" s="17" t="s">
        <v>1891</v>
      </c>
      <c r="B995" s="17" t="s">
        <v>1892</v>
      </c>
      <c r="C995" s="56">
        <v>107931.16143116145</v>
      </c>
      <c r="D995" s="53"/>
      <c r="E995"/>
    </row>
    <row r="996" spans="1:5" ht="28.8">
      <c r="A996" s="17" t="s">
        <v>1893</v>
      </c>
      <c r="B996" s="17" t="s">
        <v>1894</v>
      </c>
      <c r="C996" s="56">
        <v>90090.775335775339</v>
      </c>
      <c r="D996" s="53"/>
      <c r="E996"/>
    </row>
    <row r="997" spans="1:5">
      <c r="A997" s="17"/>
      <c r="B997" s="17" t="s">
        <v>1895</v>
      </c>
      <c r="C997" s="56">
        <v>0</v>
      </c>
      <c r="D997" s="53"/>
      <c r="E997"/>
    </row>
    <row r="998" spans="1:5" ht="28.8">
      <c r="A998" s="17" t="s">
        <v>1896</v>
      </c>
      <c r="B998" s="17" t="s">
        <v>1897</v>
      </c>
      <c r="C998" s="56">
        <v>26051.619553286218</v>
      </c>
      <c r="D998" s="53"/>
      <c r="E998"/>
    </row>
    <row r="999" spans="1:5" ht="28.8">
      <c r="A999" s="17" t="s">
        <v>1898</v>
      </c>
      <c r="B999" s="17" t="s">
        <v>1899</v>
      </c>
      <c r="C999" s="56">
        <v>17268.985828985828</v>
      </c>
      <c r="D999" s="53"/>
      <c r="E999"/>
    </row>
    <row r="1000" spans="1:5" ht="28.8">
      <c r="A1000" s="17" t="s">
        <v>1900</v>
      </c>
      <c r="B1000" s="17" t="s">
        <v>1901</v>
      </c>
      <c r="C1000" s="56">
        <v>17268.985828985828</v>
      </c>
      <c r="D1000" s="53"/>
      <c r="E1000"/>
    </row>
    <row r="1001" spans="1:5" ht="28.8">
      <c r="A1001" s="17" t="s">
        <v>1902</v>
      </c>
      <c r="B1001" s="17" t="s">
        <v>1903</v>
      </c>
      <c r="C1001" s="56">
        <v>47066.45157311824</v>
      </c>
      <c r="D1001" s="53"/>
      <c r="E1001"/>
    </row>
    <row r="1002" spans="1:5" ht="28.8">
      <c r="A1002" s="17" t="s">
        <v>1904</v>
      </c>
      <c r="B1002" s="17" t="s">
        <v>1905</v>
      </c>
      <c r="C1002" s="56">
        <v>22305.773362440028</v>
      </c>
      <c r="D1002" s="53"/>
      <c r="E1002"/>
    </row>
    <row r="1003" spans="1:5" ht="28.8">
      <c r="A1003" s="17" t="s">
        <v>1906</v>
      </c>
      <c r="B1003" s="17" t="s">
        <v>1907</v>
      </c>
      <c r="C1003" s="56">
        <v>49690.660203993531</v>
      </c>
      <c r="D1003" s="53"/>
      <c r="E1003"/>
    </row>
    <row r="1004" spans="1:5" ht="28.8">
      <c r="A1004" s="17" t="s">
        <v>1908</v>
      </c>
      <c r="B1004" s="17" t="s">
        <v>1909</v>
      </c>
      <c r="C1004" s="56">
        <v>61499.599042932379</v>
      </c>
      <c r="D1004" s="53"/>
      <c r="E1004"/>
    </row>
    <row r="1005" spans="1:5" ht="28.8">
      <c r="A1005" s="17" t="s">
        <v>1910</v>
      </c>
      <c r="B1005" s="17" t="s">
        <v>1911</v>
      </c>
      <c r="C1005" s="56">
        <v>66441.153198653206</v>
      </c>
      <c r="D1005" s="53"/>
      <c r="E1005"/>
    </row>
    <row r="1006" spans="1:5" ht="28.8">
      <c r="A1006" s="17" t="s">
        <v>1912</v>
      </c>
      <c r="B1006" s="17" t="s">
        <v>1913</v>
      </c>
      <c r="C1006" s="56">
        <v>53626.973150306498</v>
      </c>
      <c r="D1006" s="53"/>
      <c r="E1006"/>
    </row>
    <row r="1007" spans="1:5" ht="28.8">
      <c r="A1007" s="17" t="s">
        <v>1914</v>
      </c>
      <c r="B1007" s="17" t="s">
        <v>1915</v>
      </c>
      <c r="C1007" s="56">
        <v>59044.694194694188</v>
      </c>
      <c r="D1007" s="53"/>
      <c r="E1007"/>
    </row>
    <row r="1008" spans="1:5">
      <c r="A1008" s="17" t="s">
        <v>1916</v>
      </c>
      <c r="B1008" s="17" t="s">
        <v>1917</v>
      </c>
      <c r="C1008" s="56">
        <v>29628.161961495298</v>
      </c>
      <c r="D1008" s="53"/>
      <c r="E1008"/>
    </row>
    <row r="1009" spans="1:5">
      <c r="A1009" s="17" t="s">
        <v>1918</v>
      </c>
      <c r="B1009" s="17" t="s">
        <v>1919</v>
      </c>
      <c r="C1009" s="56">
        <v>36061.705701705701</v>
      </c>
      <c r="D1009" s="53"/>
      <c r="E1009"/>
    </row>
    <row r="1010" spans="1:5" ht="28.8">
      <c r="A1010" s="17" t="s">
        <v>1920</v>
      </c>
      <c r="B1010" s="17" t="s">
        <v>1921</v>
      </c>
      <c r="C1010" s="56">
        <v>37310.321098654429</v>
      </c>
      <c r="D1010" s="53"/>
      <c r="E1010"/>
    </row>
    <row r="1011" spans="1:5" ht="28.8">
      <c r="A1011" s="17" t="s">
        <v>1922</v>
      </c>
      <c r="B1011" s="17" t="s">
        <v>1923</v>
      </c>
      <c r="C1011" s="56">
        <v>43765.027811694483</v>
      </c>
      <c r="D1011" s="53"/>
      <c r="E1011"/>
    </row>
    <row r="1012" spans="1:5" ht="28.8">
      <c r="A1012" s="17" t="s">
        <v>1924</v>
      </c>
      <c r="B1012" s="17" t="s">
        <v>1925</v>
      </c>
      <c r="C1012" s="56">
        <v>61880.53255386588</v>
      </c>
      <c r="D1012" s="53"/>
      <c r="E1012"/>
    </row>
    <row r="1013" spans="1:5" ht="28.8">
      <c r="A1013" s="17" t="s">
        <v>1926</v>
      </c>
      <c r="B1013" s="17" t="s">
        <v>1927</v>
      </c>
      <c r="C1013" s="56">
        <v>36781.246777913446</v>
      </c>
      <c r="D1013" s="53"/>
      <c r="E1013"/>
    </row>
    <row r="1014" spans="1:5" ht="28.8">
      <c r="A1014" s="17" t="s">
        <v>1928</v>
      </c>
      <c r="B1014" s="17" t="s">
        <v>1929</v>
      </c>
      <c r="C1014" s="56">
        <v>91000.783167449816</v>
      </c>
      <c r="D1014" s="53"/>
      <c r="E1014"/>
    </row>
    <row r="1015" spans="1:5" ht="28.8">
      <c r="A1015" s="17" t="s">
        <v>1930</v>
      </c>
      <c r="B1015" s="17" t="s">
        <v>1931</v>
      </c>
      <c r="C1015" s="56">
        <v>11375.097895931227</v>
      </c>
      <c r="D1015" s="53"/>
      <c r="E1015"/>
    </row>
    <row r="1016" spans="1:5" ht="28.8">
      <c r="A1016" s="17" t="s">
        <v>1932</v>
      </c>
      <c r="B1016" s="17" t="s">
        <v>1933</v>
      </c>
      <c r="C1016" s="56">
        <v>15470.13313846647</v>
      </c>
      <c r="D1016" s="53"/>
      <c r="E1016"/>
    </row>
    <row r="1017" spans="1:5" ht="28.8">
      <c r="A1017" s="17" t="s">
        <v>1934</v>
      </c>
      <c r="B1017" s="17" t="s">
        <v>1935</v>
      </c>
      <c r="C1017" s="56">
        <v>13480.813692480358</v>
      </c>
      <c r="D1017" s="53"/>
      <c r="E1017"/>
    </row>
    <row r="1018" spans="1:5" ht="28.8">
      <c r="A1018" s="17" t="s">
        <v>1936</v>
      </c>
      <c r="B1018" s="17" t="s">
        <v>1937</v>
      </c>
      <c r="C1018" s="56">
        <v>16507.118807118808</v>
      </c>
      <c r="D1018" s="53"/>
      <c r="E1018"/>
    </row>
    <row r="1019" spans="1:5">
      <c r="A1019" s="17" t="s">
        <v>1938</v>
      </c>
      <c r="B1019" s="17" t="s">
        <v>1939</v>
      </c>
      <c r="C1019" s="56">
        <v>4416.1696328363005</v>
      </c>
      <c r="D1019" s="53"/>
      <c r="E1019"/>
    </row>
    <row r="1020" spans="1:5">
      <c r="A1020" s="17" t="s">
        <v>1940</v>
      </c>
      <c r="B1020" s="17" t="s">
        <v>1941</v>
      </c>
      <c r="C1020" s="56">
        <v>6042.7301093967753</v>
      </c>
      <c r="D1020" s="53"/>
      <c r="E1020"/>
    </row>
    <row r="1021" spans="1:5">
      <c r="A1021" s="17" t="s">
        <v>1942</v>
      </c>
      <c r="B1021" s="17" t="s">
        <v>1943</v>
      </c>
      <c r="C1021" s="56">
        <v>32760.28194028194</v>
      </c>
      <c r="D1021" s="53"/>
      <c r="E1021"/>
    </row>
    <row r="1022" spans="1:5" ht="28.8">
      <c r="A1022" s="17" t="s">
        <v>1944</v>
      </c>
      <c r="B1022" s="17" t="s">
        <v>1945</v>
      </c>
      <c r="C1022" s="56">
        <v>32305.278024444691</v>
      </c>
      <c r="D1022" s="53"/>
      <c r="E1022"/>
    </row>
    <row r="1023" spans="1:5">
      <c r="A1023" s="17" t="s">
        <v>1946</v>
      </c>
      <c r="B1023" s="17" t="s">
        <v>1947</v>
      </c>
      <c r="C1023" s="56">
        <v>6449.4007227340562</v>
      </c>
      <c r="D1023" s="53"/>
      <c r="E1023"/>
    </row>
    <row r="1024" spans="1:5" ht="28.8">
      <c r="A1024" s="17" t="s">
        <v>1948</v>
      </c>
      <c r="B1024" s="17" t="s">
        <v>1949</v>
      </c>
      <c r="C1024" s="56">
        <v>28654.665211331878</v>
      </c>
      <c r="D1024" s="53"/>
      <c r="E1024"/>
    </row>
    <row r="1025" spans="1:5" ht="28.8">
      <c r="A1025" s="17" t="s">
        <v>1950</v>
      </c>
      <c r="B1025" s="17" t="s">
        <v>1951</v>
      </c>
      <c r="C1025" s="56">
        <v>26412.243928910597</v>
      </c>
      <c r="D1025" s="53"/>
      <c r="E1025"/>
    </row>
    <row r="1026" spans="1:5" ht="28.8">
      <c r="A1026" s="17" t="s">
        <v>1952</v>
      </c>
      <c r="B1026" s="17" t="s">
        <v>1953</v>
      </c>
      <c r="C1026" s="56">
        <v>23046.477411477412</v>
      </c>
      <c r="D1026" s="53"/>
      <c r="E1026"/>
    </row>
    <row r="1027" spans="1:5" ht="28.8">
      <c r="A1027" s="17" t="s">
        <v>1954</v>
      </c>
      <c r="B1027" s="17" t="s">
        <v>1955</v>
      </c>
      <c r="C1027" s="56">
        <v>9100.0783167449827</v>
      </c>
      <c r="D1027" s="53"/>
      <c r="E1027"/>
    </row>
    <row r="1028" spans="1:5" ht="28.8">
      <c r="A1028" s="17" t="s">
        <v>1956</v>
      </c>
      <c r="B1028" s="17" t="s">
        <v>1957</v>
      </c>
      <c r="C1028" s="56">
        <v>6695.9646032979372</v>
      </c>
      <c r="D1028" s="53"/>
      <c r="E1028"/>
    </row>
    <row r="1029" spans="1:5" ht="28.8">
      <c r="A1029" s="17" t="s">
        <v>1958</v>
      </c>
      <c r="B1029" s="17" t="s">
        <v>1959</v>
      </c>
      <c r="C1029" s="56">
        <v>6983.7810337810351</v>
      </c>
      <c r="D1029" s="53"/>
      <c r="E1029"/>
    </row>
    <row r="1030" spans="1:5" ht="28.8">
      <c r="A1030" s="17" t="s">
        <v>1960</v>
      </c>
      <c r="B1030" s="17" t="s">
        <v>1961</v>
      </c>
      <c r="C1030" s="56">
        <v>9311.7080450413796</v>
      </c>
      <c r="D1030" s="53"/>
      <c r="E1030"/>
    </row>
    <row r="1031" spans="1:5" ht="28.8">
      <c r="A1031" s="17" t="s">
        <v>1962</v>
      </c>
      <c r="B1031" s="17" t="s">
        <v>1963</v>
      </c>
      <c r="C1031" s="56">
        <v>7364.7145447145449</v>
      </c>
      <c r="D1031" s="53"/>
      <c r="E1031"/>
    </row>
    <row r="1032" spans="1:5" ht="28.8">
      <c r="A1032" s="17" t="s">
        <v>1964</v>
      </c>
      <c r="B1032" s="17" t="s">
        <v>1965</v>
      </c>
      <c r="C1032" s="56">
        <v>18655.160549327215</v>
      </c>
      <c r="D1032" s="53"/>
      <c r="E1032"/>
    </row>
    <row r="1033" spans="1:5" ht="28.8">
      <c r="A1033" s="17" t="s">
        <v>1966</v>
      </c>
      <c r="B1033" s="17" t="s">
        <v>1967</v>
      </c>
      <c r="C1033" s="56">
        <v>7787.9740013073342</v>
      </c>
      <c r="D1033" s="53"/>
      <c r="E1033"/>
    </row>
    <row r="1034" spans="1:5" ht="28.8">
      <c r="A1034" s="17" t="s">
        <v>1968</v>
      </c>
      <c r="B1034" s="17" t="s">
        <v>1969</v>
      </c>
      <c r="C1034" s="56">
        <v>9777.2934472934485</v>
      </c>
      <c r="D1034" s="53"/>
      <c r="E1034"/>
    </row>
    <row r="1035" spans="1:5" ht="28.8">
      <c r="A1035" s="17" t="s">
        <v>1970</v>
      </c>
      <c r="B1035" s="17" t="s">
        <v>1971</v>
      </c>
      <c r="C1035" s="56">
        <v>11047.071817071816</v>
      </c>
      <c r="D1035" s="53"/>
      <c r="E1035"/>
    </row>
    <row r="1036" spans="1:5" ht="28.8">
      <c r="A1036" s="17" t="s">
        <v>1972</v>
      </c>
      <c r="B1036" s="17" t="s">
        <v>1973</v>
      </c>
      <c r="C1036" s="56">
        <v>14517.799361132693</v>
      </c>
      <c r="D1036" s="53"/>
      <c r="E1036"/>
    </row>
    <row r="1037" spans="1:5" ht="28.8">
      <c r="A1037" s="17" t="s">
        <v>1974</v>
      </c>
      <c r="B1037" s="17" t="s">
        <v>1975</v>
      </c>
      <c r="C1037" s="56">
        <v>12215.267917267918</v>
      </c>
      <c r="D1037" s="53"/>
      <c r="E1037"/>
    </row>
    <row r="1038" spans="1:5" ht="28.8">
      <c r="A1038" s="17" t="s">
        <v>1976</v>
      </c>
      <c r="B1038" s="17" t="s">
        <v>1977</v>
      </c>
      <c r="C1038" s="56">
        <v>15321.992328658993</v>
      </c>
      <c r="D1038" s="53"/>
      <c r="E1038"/>
    </row>
    <row r="1039" spans="1:5">
      <c r="A1039" s="17"/>
      <c r="B1039" s="17" t="s">
        <v>1978</v>
      </c>
      <c r="C1039" s="56">
        <v>0</v>
      </c>
      <c r="D1039" s="53"/>
      <c r="E1039"/>
    </row>
    <row r="1040" spans="1:5">
      <c r="A1040" s="17" t="s">
        <v>1979</v>
      </c>
      <c r="B1040" s="17" t="s">
        <v>1980</v>
      </c>
      <c r="C1040" s="56">
        <v>11554.983164983165</v>
      </c>
      <c r="D1040" s="53"/>
      <c r="E1040"/>
    </row>
    <row r="1041" spans="1:5">
      <c r="A1041" s="17" t="s">
        <v>1981</v>
      </c>
      <c r="B1041" s="17" t="s">
        <v>1982</v>
      </c>
      <c r="C1041" s="56">
        <v>12285.105727605729</v>
      </c>
      <c r="D1041" s="53"/>
      <c r="E1041"/>
    </row>
    <row r="1042" spans="1:5">
      <c r="A1042" s="17" t="s">
        <v>1983</v>
      </c>
      <c r="B1042" s="17" t="s">
        <v>1984</v>
      </c>
      <c r="C1042" s="56">
        <v>15237.340437340436</v>
      </c>
      <c r="D1042" s="53"/>
      <c r="E1042"/>
    </row>
    <row r="1043" spans="1:5">
      <c r="A1043" s="17" t="s">
        <v>1985</v>
      </c>
      <c r="B1043" s="17" t="s">
        <v>1986</v>
      </c>
      <c r="C1043" s="56">
        <v>14105.121390954724</v>
      </c>
      <c r="D1043" s="53"/>
      <c r="E1043"/>
    </row>
    <row r="1044" spans="1:5">
      <c r="A1044" s="17" t="s">
        <v>1987</v>
      </c>
      <c r="B1044" s="17" t="s">
        <v>1988</v>
      </c>
      <c r="C1044" s="56">
        <v>19321.794193460861</v>
      </c>
      <c r="D1044" s="53"/>
      <c r="E1044"/>
    </row>
    <row r="1045" spans="1:5">
      <c r="A1045" s="17" t="s">
        <v>1989</v>
      </c>
      <c r="B1045" s="17" t="s">
        <v>1990</v>
      </c>
      <c r="C1045" s="56">
        <v>20930.180128513464</v>
      </c>
      <c r="D1045" s="53"/>
      <c r="E1045"/>
    </row>
    <row r="1046" spans="1:5">
      <c r="A1046" s="17" t="s">
        <v>1991</v>
      </c>
      <c r="B1046" s="17" t="s">
        <v>1992</v>
      </c>
      <c r="C1046" s="56">
        <v>8507.5150775150778</v>
      </c>
      <c r="D1046" s="53"/>
      <c r="E1046"/>
    </row>
    <row r="1047" spans="1:5">
      <c r="A1047" s="17" t="s">
        <v>1993</v>
      </c>
      <c r="B1047" s="17" t="s">
        <v>1994</v>
      </c>
      <c r="C1047" s="56">
        <v>11375.097895931227</v>
      </c>
      <c r="D1047" s="53"/>
      <c r="E1047"/>
    </row>
    <row r="1048" spans="1:5">
      <c r="A1048" s="17" t="s">
        <v>1995</v>
      </c>
      <c r="B1048" s="17" t="s">
        <v>1996</v>
      </c>
      <c r="C1048" s="56">
        <v>12507.316942316944</v>
      </c>
      <c r="D1048" s="53"/>
      <c r="E1048"/>
    </row>
    <row r="1049" spans="1:5">
      <c r="A1049" s="17" t="s">
        <v>1997</v>
      </c>
      <c r="B1049" s="17" t="s">
        <v>1998</v>
      </c>
      <c r="C1049" s="56">
        <v>22295.191876025208</v>
      </c>
      <c r="D1049" s="53"/>
      <c r="E1049"/>
    </row>
    <row r="1050" spans="1:5">
      <c r="A1050" s="17" t="s">
        <v>1999</v>
      </c>
      <c r="B1050" s="17" t="s">
        <v>2000</v>
      </c>
      <c r="C1050" s="56">
        <v>14560.125306791973</v>
      </c>
      <c r="D1050" s="53"/>
      <c r="E1050"/>
    </row>
    <row r="1051" spans="1:5">
      <c r="A1051" s="17"/>
      <c r="B1051" s="17" t="s">
        <v>1506</v>
      </c>
      <c r="C1051" s="56">
        <v>0</v>
      </c>
      <c r="D1051" s="53"/>
      <c r="E1051"/>
    </row>
    <row r="1052" spans="1:5" ht="28.8">
      <c r="A1052" s="17" t="s">
        <v>2001</v>
      </c>
      <c r="B1052" s="17" t="s">
        <v>2002</v>
      </c>
      <c r="C1052" s="56">
        <v>33522.148962148967</v>
      </c>
      <c r="D1052" s="53"/>
      <c r="E1052"/>
    </row>
    <row r="1053" spans="1:5" ht="28.8">
      <c r="A1053" s="17" t="s">
        <v>2003</v>
      </c>
      <c r="B1053" s="17" t="s">
        <v>2004</v>
      </c>
      <c r="C1053" s="56">
        <v>10073.575066908401</v>
      </c>
      <c r="D1053" s="53"/>
      <c r="E1053"/>
    </row>
    <row r="1054" spans="1:5" ht="28.8">
      <c r="A1054" s="17" t="s">
        <v>2005</v>
      </c>
      <c r="B1054" s="17" t="s">
        <v>2006</v>
      </c>
      <c r="C1054" s="56">
        <v>10454.508577841911</v>
      </c>
      <c r="D1054" s="53"/>
      <c r="E1054"/>
    </row>
    <row r="1055" spans="1:5" ht="28.8">
      <c r="A1055" s="17" t="s">
        <v>2007</v>
      </c>
      <c r="B1055" s="17" t="s">
        <v>2008</v>
      </c>
      <c r="C1055" s="56">
        <v>11047.071817071816</v>
      </c>
      <c r="D1055" s="53"/>
    </row>
    <row r="1056" spans="1:5" ht="28.8">
      <c r="A1056" s="17" t="s">
        <v>2009</v>
      </c>
      <c r="B1056" s="17" t="s">
        <v>2010</v>
      </c>
      <c r="C1056" s="56">
        <v>11681.961001961003</v>
      </c>
      <c r="D1056" s="53"/>
    </row>
    <row r="1057" spans="1:4" ht="28.8">
      <c r="A1057" s="17" t="s">
        <v>2011</v>
      </c>
      <c r="B1057" s="17" t="s">
        <v>2012</v>
      </c>
      <c r="C1057" s="56">
        <v>13755.932339265672</v>
      </c>
      <c r="D1057" s="53"/>
    </row>
    <row r="1058" spans="1:4" ht="28.8">
      <c r="A1058" s="17" t="s">
        <v>2013</v>
      </c>
      <c r="B1058" s="17" t="s">
        <v>2014</v>
      </c>
      <c r="C1058" s="56">
        <v>11681.961001961003</v>
      </c>
      <c r="D1058" s="53"/>
    </row>
    <row r="1059" spans="1:4" ht="28.8">
      <c r="A1059" s="17" t="s">
        <v>2015</v>
      </c>
      <c r="B1059" s="17" t="s">
        <v>2016</v>
      </c>
      <c r="C1059" s="56">
        <v>15470.13313846647</v>
      </c>
      <c r="D1059" s="53"/>
    </row>
    <row r="1060" spans="1:4" ht="28.8">
      <c r="A1060" s="17" t="s">
        <v>2017</v>
      </c>
      <c r="B1060" s="17" t="s">
        <v>2018</v>
      </c>
      <c r="C1060" s="56">
        <v>14382.356335023002</v>
      </c>
      <c r="D1060" s="53"/>
    </row>
    <row r="1061" spans="1:4" ht="28.8">
      <c r="A1061" s="17" t="s">
        <v>2019</v>
      </c>
      <c r="B1061" s="17" t="s">
        <v>2020</v>
      </c>
      <c r="C1061" s="56">
        <v>30009.095472428806</v>
      </c>
      <c r="D1061" s="53"/>
    </row>
    <row r="1062" spans="1:4" ht="28.8">
      <c r="A1062" s="17" t="s">
        <v>2021</v>
      </c>
      <c r="B1062" s="17" t="s">
        <v>2022</v>
      </c>
      <c r="C1062" s="56">
        <v>40495.348509515177</v>
      </c>
      <c r="D1062" s="53"/>
    </row>
    <row r="1063" spans="1:4">
      <c r="A1063" s="17"/>
      <c r="B1063" s="17" t="s">
        <v>2023</v>
      </c>
      <c r="C1063" s="56">
        <v>0</v>
      </c>
      <c r="D1063" s="53"/>
    </row>
    <row r="1064" spans="1:4" ht="28.8">
      <c r="A1064" s="17" t="s">
        <v>2024</v>
      </c>
      <c r="B1064" s="17" t="s">
        <v>2025</v>
      </c>
      <c r="C1064" s="56">
        <v>15015.129222629221</v>
      </c>
      <c r="D1064" s="53"/>
    </row>
    <row r="1065" spans="1:4" ht="28.8">
      <c r="A1065" s="17" t="s">
        <v>2026</v>
      </c>
      <c r="B1065" s="17" t="s">
        <v>2027</v>
      </c>
      <c r="C1065" s="56">
        <v>13195.113559280226</v>
      </c>
      <c r="D1065" s="53"/>
    </row>
    <row r="1066" spans="1:4" ht="28.8">
      <c r="A1066" s="17" t="s">
        <v>2028</v>
      </c>
      <c r="B1066" s="17" t="s">
        <v>2029</v>
      </c>
      <c r="C1066" s="56">
        <v>15015.129222629221</v>
      </c>
      <c r="D1066" s="53"/>
    </row>
    <row r="1067" spans="1:4" ht="28.8">
      <c r="A1067" s="17" t="s">
        <v>2030</v>
      </c>
      <c r="B1067" s="17" t="s">
        <v>2031</v>
      </c>
      <c r="C1067" s="56">
        <v>21840.187960187955</v>
      </c>
      <c r="D1067" s="53"/>
    </row>
    <row r="1068" spans="1:4">
      <c r="A1068" s="79"/>
      <c r="B1068" s="79"/>
      <c r="C1068" s="80"/>
      <c r="D1068" s="81"/>
    </row>
    <row r="1069" spans="1:4">
      <c r="A1069" s="17" t="s">
        <v>2033</v>
      </c>
      <c r="B1069" s="17" t="s">
        <v>2034</v>
      </c>
      <c r="C1069" s="56">
        <v>5999.94</v>
      </c>
      <c r="D1069" s="51"/>
    </row>
    <row r="1070" spans="1:4">
      <c r="A1070" s="17" t="s">
        <v>2033</v>
      </c>
      <c r="B1070" s="17" t="s">
        <v>2035</v>
      </c>
      <c r="C1070" s="56">
        <v>5999.94</v>
      </c>
      <c r="D1070" s="51"/>
    </row>
    <row r="1071" spans="1:4">
      <c r="A1071" s="17" t="s">
        <v>2033</v>
      </c>
      <c r="B1071" s="17" t="s">
        <v>2036</v>
      </c>
      <c r="C1071" s="56">
        <v>7000</v>
      </c>
      <c r="D1071" s="51"/>
    </row>
    <row r="1072" spans="1:4">
      <c r="A1072" s="17" t="s">
        <v>2037</v>
      </c>
      <c r="B1072" s="17" t="s">
        <v>2048</v>
      </c>
      <c r="C1072" s="56">
        <v>16000</v>
      </c>
      <c r="D1072" s="51"/>
    </row>
    <row r="1073" spans="1:4">
      <c r="B1073" s="17" t="s">
        <v>2049</v>
      </c>
      <c r="C1073" s="56">
        <v>10000</v>
      </c>
      <c r="D1073" s="51"/>
    </row>
    <row r="1074" spans="1:4">
      <c r="B1074" s="17" t="s">
        <v>2050</v>
      </c>
      <c r="C1074" s="56">
        <v>16000</v>
      </c>
      <c r="D1074" s="51"/>
    </row>
    <row r="1075" spans="1:4">
      <c r="A1075" s="17" t="s">
        <v>2051</v>
      </c>
      <c r="B1075" s="17" t="s">
        <v>2038</v>
      </c>
      <c r="C1075" s="56">
        <v>300</v>
      </c>
      <c r="D1075" s="51"/>
    </row>
    <row r="1076" spans="1:4">
      <c r="A1076" s="17" t="s">
        <v>2052</v>
      </c>
      <c r="B1076" s="17" t="s">
        <v>2039</v>
      </c>
      <c r="C1076" s="56">
        <v>400</v>
      </c>
      <c r="D1076" s="51"/>
    </row>
    <row r="1077" spans="1:4">
      <c r="A1077" s="17" t="s">
        <v>2053</v>
      </c>
      <c r="B1077" s="17" t="s">
        <v>2040</v>
      </c>
      <c r="C1077" s="56">
        <v>500</v>
      </c>
      <c r="D1077" s="51"/>
    </row>
    <row r="1078" spans="1:4">
      <c r="A1078" s="17" t="s">
        <v>2054</v>
      </c>
      <c r="B1078" s="17" t="s">
        <v>2041</v>
      </c>
      <c r="C1078" s="56">
        <v>630</v>
      </c>
      <c r="D1078" s="51"/>
    </row>
    <row r="1079" spans="1:4">
      <c r="A1079" s="17" t="s">
        <v>2055</v>
      </c>
      <c r="B1079" s="17" t="s">
        <v>2042</v>
      </c>
      <c r="C1079" s="56">
        <v>895</v>
      </c>
      <c r="D1079" s="51"/>
    </row>
    <row r="1080" spans="1:4">
      <c r="A1080" s="17" t="s">
        <v>2056</v>
      </c>
      <c r="B1080" s="17" t="s">
        <v>2043</v>
      </c>
      <c r="C1080" s="56">
        <v>300</v>
      </c>
      <c r="D1080" s="51"/>
    </row>
    <row r="1081" spans="1:4">
      <c r="A1081" s="17" t="s">
        <v>2057</v>
      </c>
      <c r="B1081" s="17" t="s">
        <v>2044</v>
      </c>
      <c r="C1081" s="56">
        <v>400</v>
      </c>
      <c r="D1081" s="51"/>
    </row>
    <row r="1082" spans="1:4">
      <c r="A1082" s="17" t="s">
        <v>2058</v>
      </c>
      <c r="B1082" s="17" t="s">
        <v>2045</v>
      </c>
      <c r="C1082" s="56">
        <v>500</v>
      </c>
      <c r="D1082" s="51"/>
    </row>
    <row r="1083" spans="1:4">
      <c r="A1083" s="17" t="s">
        <v>2059</v>
      </c>
      <c r="B1083" s="17" t="s">
        <v>2046</v>
      </c>
      <c r="C1083" s="56">
        <v>25</v>
      </c>
      <c r="D1083" s="51"/>
    </row>
    <row r="1084" spans="1:4">
      <c r="A1084" s="17" t="s">
        <v>2060</v>
      </c>
      <c r="B1084" s="17" t="s">
        <v>2047</v>
      </c>
      <c r="C1084" s="56">
        <v>35</v>
      </c>
      <c r="D1084" s="51"/>
    </row>
    <row r="1085" spans="1:4">
      <c r="A1085" s="17" t="s">
        <v>2062</v>
      </c>
      <c r="B1085" s="17" t="s">
        <v>2063</v>
      </c>
      <c r="C1085" s="56">
        <v>300</v>
      </c>
      <c r="D1085" s="51"/>
    </row>
    <row r="1086" spans="1:4">
      <c r="A1086" s="17" t="s">
        <v>2064</v>
      </c>
      <c r="B1086" s="17" t="s">
        <v>2065</v>
      </c>
      <c r="C1086" s="56">
        <v>360</v>
      </c>
      <c r="D1086" s="51"/>
    </row>
    <row r="1087" spans="1:4">
      <c r="A1087" s="17" t="s">
        <v>2066</v>
      </c>
      <c r="B1087" s="17" t="s">
        <v>2067</v>
      </c>
      <c r="C1087" s="56">
        <v>550</v>
      </c>
      <c r="D1087" s="51"/>
    </row>
    <row r="1088" spans="1:4">
      <c r="A1088" s="17" t="s">
        <v>2068</v>
      </c>
      <c r="B1088" s="17" t="s">
        <v>2069</v>
      </c>
      <c r="C1088" s="56">
        <v>850</v>
      </c>
      <c r="D1088" s="51"/>
    </row>
    <row r="1089" spans="1:4">
      <c r="A1089" s="17" t="s">
        <v>2078</v>
      </c>
      <c r="B1089" s="17" t="s">
        <v>2073</v>
      </c>
      <c r="C1089" s="56">
        <v>375</v>
      </c>
      <c r="D1089" s="51"/>
    </row>
    <row r="1090" spans="1:4">
      <c r="A1090" s="17" t="s">
        <v>2079</v>
      </c>
      <c r="B1090" s="17" t="s">
        <v>2074</v>
      </c>
      <c r="C1090" s="56">
        <v>820</v>
      </c>
      <c r="D1090" s="51"/>
    </row>
    <row r="1091" spans="1:4">
      <c r="A1091" s="17" t="s">
        <v>2080</v>
      </c>
      <c r="B1091" s="17" t="s">
        <v>2075</v>
      </c>
      <c r="C1091" s="56">
        <v>870</v>
      </c>
      <c r="D1091" s="51"/>
    </row>
    <row r="1092" spans="1:4">
      <c r="A1092" s="17" t="s">
        <v>2081</v>
      </c>
      <c r="B1092" s="17" t="s">
        <v>2076</v>
      </c>
      <c r="C1092" s="56">
        <v>1115</v>
      </c>
      <c r="D1092" s="51"/>
    </row>
    <row r="1093" spans="1:4">
      <c r="A1093" s="17" t="s">
        <v>2082</v>
      </c>
      <c r="B1093" s="17" t="s">
        <v>2077</v>
      </c>
      <c r="C1093" s="56">
        <v>1605</v>
      </c>
      <c r="D1093" s="51"/>
    </row>
    <row r="1094" spans="1:4">
      <c r="A1094" s="17" t="s">
        <v>2096</v>
      </c>
      <c r="B1094" s="17" t="s">
        <v>2093</v>
      </c>
      <c r="C1094" s="56">
        <v>3000</v>
      </c>
      <c r="D1094" s="51"/>
    </row>
    <row r="1095" spans="1:4">
      <c r="A1095" s="17" t="s">
        <v>2097</v>
      </c>
      <c r="B1095" s="17" t="s">
        <v>2094</v>
      </c>
      <c r="C1095" s="56">
        <v>1000</v>
      </c>
      <c r="D1095" s="51"/>
    </row>
    <row r="1096" spans="1:4">
      <c r="A1096" s="17" t="s">
        <v>2098</v>
      </c>
      <c r="B1096" s="17" t="s">
        <v>2095</v>
      </c>
      <c r="C1096" s="56">
        <v>820</v>
      </c>
      <c r="D1096" s="51"/>
    </row>
    <row r="1097" spans="1:4">
      <c r="A1097" s="17" t="s">
        <v>2088</v>
      </c>
      <c r="B1097" s="17" t="s">
        <v>2083</v>
      </c>
      <c r="C1097" s="56">
        <v>12000</v>
      </c>
      <c r="D1097" s="51"/>
    </row>
    <row r="1098" spans="1:4">
      <c r="A1098" s="17" t="s">
        <v>2089</v>
      </c>
      <c r="B1098" s="17" t="s">
        <v>2084</v>
      </c>
      <c r="C1098" s="56">
        <v>4500</v>
      </c>
      <c r="D1098" s="51"/>
    </row>
    <row r="1099" spans="1:4">
      <c r="A1099" s="17" t="s">
        <v>2092</v>
      </c>
      <c r="B1099" s="17" t="s">
        <v>2085</v>
      </c>
      <c r="C1099" s="56">
        <v>2200</v>
      </c>
      <c r="D1099" s="51"/>
    </row>
    <row r="1100" spans="1:4">
      <c r="A1100" s="17" t="s">
        <v>2090</v>
      </c>
      <c r="B1100" s="17" t="s">
        <v>2086</v>
      </c>
      <c r="C1100" s="56">
        <v>6500</v>
      </c>
      <c r="D1100" s="51"/>
    </row>
    <row r="1101" spans="1:4">
      <c r="A1101" s="17" t="s">
        <v>2091</v>
      </c>
      <c r="B1101" s="17" t="s">
        <v>2087</v>
      </c>
      <c r="C1101" s="56">
        <v>600</v>
      </c>
      <c r="D1101" s="51"/>
    </row>
    <row r="1102" spans="1:4">
      <c r="A1102" s="88"/>
      <c r="B1102" s="89" t="s">
        <v>2138</v>
      </c>
      <c r="C1102" s="90"/>
      <c r="D1102" s="51"/>
    </row>
    <row r="1103" spans="1:4">
      <c r="A1103" s="109"/>
      <c r="B1103" s="106" t="s">
        <v>2101</v>
      </c>
      <c r="C1103" s="110"/>
      <c r="D1103" s="51"/>
    </row>
    <row r="1104" spans="1:4">
      <c r="A1104" s="82">
        <v>10411</v>
      </c>
      <c r="B1104" s="83" t="s">
        <v>2102</v>
      </c>
      <c r="C1104" s="84">
        <v>1726.2633548160006</v>
      </c>
      <c r="D1104" s="51"/>
    </row>
    <row r="1105" spans="1:5">
      <c r="A1105" s="82">
        <v>10521</v>
      </c>
      <c r="B1105" s="83" t="s">
        <v>2103</v>
      </c>
      <c r="C1105" s="84">
        <v>1526.2012846080006</v>
      </c>
      <c r="D1105" s="51"/>
    </row>
    <row r="1106" spans="1:5">
      <c r="A1106" s="82">
        <v>10584</v>
      </c>
      <c r="B1106" s="83" t="s">
        <v>2104</v>
      </c>
      <c r="C1106" s="84">
        <v>1134.4196223360004</v>
      </c>
      <c r="D1106" s="51"/>
    </row>
    <row r="1107" spans="1:5">
      <c r="A1107" s="82">
        <v>10601</v>
      </c>
      <c r="B1107" s="83" t="s">
        <v>2105</v>
      </c>
      <c r="C1107" s="84">
        <v>2665.7140910400003</v>
      </c>
      <c r="D1107" s="51"/>
    </row>
    <row r="1108" spans="1:5">
      <c r="A1108" s="82">
        <v>10621</v>
      </c>
      <c r="B1108" s="83" t="s">
        <v>2106</v>
      </c>
      <c r="C1108" s="84">
        <v>2981.2778835840008</v>
      </c>
      <c r="D1108" s="51"/>
    </row>
    <row r="1109" spans="1:5">
      <c r="A1109" s="82">
        <v>10681</v>
      </c>
      <c r="B1109" s="83" t="s">
        <v>2107</v>
      </c>
      <c r="C1109" s="84">
        <v>481.39022131200016</v>
      </c>
      <c r="D1109" s="51"/>
    </row>
    <row r="1110" spans="1:5">
      <c r="A1110" s="82">
        <v>10691</v>
      </c>
      <c r="B1110" s="83" t="s">
        <v>2108</v>
      </c>
      <c r="C1110" s="84">
        <v>322.41092083200004</v>
      </c>
      <c r="D1110" s="51"/>
    </row>
    <row r="1111" spans="1:5">
      <c r="A1111" s="82">
        <v>10692</v>
      </c>
      <c r="B1111" s="83" t="s">
        <v>2109</v>
      </c>
      <c r="C1111" s="84">
        <v>325.53653932800017</v>
      </c>
      <c r="D1111" s="51"/>
    </row>
    <row r="1112" spans="1:5">
      <c r="A1112" s="82">
        <v>10722</v>
      </c>
      <c r="B1112" s="83" t="s">
        <v>2110</v>
      </c>
      <c r="C1112" s="84">
        <v>761.1555631680003</v>
      </c>
      <c r="D1112" s="51"/>
    </row>
    <row r="1113" spans="1:5">
      <c r="A1113" s="82">
        <v>10735</v>
      </c>
      <c r="B1113" s="83" t="s">
        <v>2111</v>
      </c>
      <c r="C1113" s="84">
        <v>5800.5407940480018</v>
      </c>
      <c r="D1113" s="51"/>
    </row>
    <row r="1114" spans="1:5">
      <c r="A1114" s="82">
        <v>10763</v>
      </c>
      <c r="B1114" s="83" t="s">
        <v>2112</v>
      </c>
      <c r="C1114" s="84">
        <v>8783.6400812160027</v>
      </c>
      <c r="D1114" s="51"/>
    </row>
    <row r="1115" spans="1:5">
      <c r="A1115" s="82">
        <v>10767</v>
      </c>
      <c r="B1115" s="83" t="s">
        <v>2113</v>
      </c>
      <c r="C1115" s="84">
        <v>4377.2937848640013</v>
      </c>
      <c r="D1115" s="51"/>
    </row>
    <row r="1116" spans="1:5">
      <c r="A1116" s="82">
        <v>10801</v>
      </c>
      <c r="B1116" s="83" t="s">
        <v>2114</v>
      </c>
      <c r="C1116" s="84">
        <v>567.07489238400012</v>
      </c>
      <c r="D1116" s="51"/>
    </row>
    <row r="1117" spans="1:5">
      <c r="A1117" s="82">
        <v>10952</v>
      </c>
      <c r="B1117" s="85" t="s">
        <v>2115</v>
      </c>
      <c r="C1117" s="84">
        <v>630.48672086400018</v>
      </c>
      <c r="D1117" s="51"/>
      <c r="E1117"/>
    </row>
    <row r="1118" spans="1:5">
      <c r="A1118" s="82">
        <v>10954</v>
      </c>
      <c r="B1118" s="85" t="s">
        <v>2116</v>
      </c>
      <c r="C1118" s="84">
        <v>1042.4162548800002</v>
      </c>
      <c r="D1118" s="51"/>
      <c r="E1118"/>
    </row>
    <row r="1119" spans="1:5">
      <c r="A1119" s="82">
        <v>10956</v>
      </c>
      <c r="B1119" s="85" t="s">
        <v>2117</v>
      </c>
      <c r="C1119" s="84">
        <v>1744.8821470080009</v>
      </c>
      <c r="D1119" s="51"/>
      <c r="E1119"/>
    </row>
    <row r="1120" spans="1:5">
      <c r="A1120" s="86">
        <v>10958</v>
      </c>
      <c r="B1120" s="87" t="s">
        <v>2118</v>
      </c>
      <c r="C1120" s="84">
        <v>2377.4601090240008</v>
      </c>
      <c r="D1120" s="51"/>
      <c r="E1120"/>
    </row>
    <row r="1121" spans="1:5">
      <c r="A1121" s="107"/>
      <c r="B1121" s="106" t="s">
        <v>2119</v>
      </c>
      <c r="C1121" s="108"/>
      <c r="D1121" s="51"/>
      <c r="E1121"/>
    </row>
    <row r="1122" spans="1:5">
      <c r="A1122" s="82">
        <v>10419</v>
      </c>
      <c r="B1122" s="83" t="s">
        <v>2120</v>
      </c>
      <c r="C1122" s="84">
        <v>3693.8064683520015</v>
      </c>
      <c r="D1122" s="51"/>
      <c r="E1122"/>
    </row>
    <row r="1123" spans="1:5">
      <c r="A1123" s="82">
        <v>10582</v>
      </c>
      <c r="B1123" s="83" t="s">
        <v>2121</v>
      </c>
      <c r="C1123" s="84">
        <v>1190.2535124480005</v>
      </c>
      <c r="D1123" s="51"/>
      <c r="E1123"/>
    </row>
    <row r="1124" spans="1:5">
      <c r="A1124" s="82">
        <v>10602</v>
      </c>
      <c r="B1124" s="83" t="s">
        <v>2122</v>
      </c>
      <c r="C1124" s="84">
        <v>2918.6193516480007</v>
      </c>
      <c r="D1124" s="51"/>
      <c r="E1124"/>
    </row>
    <row r="1125" spans="1:5">
      <c r="A1125" s="82">
        <v>10622</v>
      </c>
      <c r="B1125" s="83" t="s">
        <v>2123</v>
      </c>
      <c r="C1125" s="84">
        <v>3204.815822208001</v>
      </c>
      <c r="D1125" s="51"/>
      <c r="E1125"/>
    </row>
    <row r="1126" spans="1:5">
      <c r="A1126" s="82">
        <v>10681</v>
      </c>
      <c r="B1126" s="83" t="s">
        <v>2107</v>
      </c>
      <c r="C1126" s="84">
        <v>481.39022131200016</v>
      </c>
      <c r="D1126" s="51"/>
      <c r="E1126"/>
    </row>
    <row r="1127" spans="1:5">
      <c r="A1127" s="82">
        <v>10691</v>
      </c>
      <c r="B1127" s="83" t="s">
        <v>2108</v>
      </c>
      <c r="C1127" s="84">
        <v>322.41092083200004</v>
      </c>
      <c r="D1127" s="51"/>
      <c r="E1127"/>
    </row>
    <row r="1128" spans="1:5">
      <c r="A1128" s="82">
        <v>10692</v>
      </c>
      <c r="B1128" s="83" t="s">
        <v>2109</v>
      </c>
      <c r="C1128" s="84">
        <v>325.53653932800017</v>
      </c>
      <c r="D1128" s="51"/>
      <c r="E1128"/>
    </row>
    <row r="1129" spans="1:5">
      <c r="A1129" s="82">
        <v>10722</v>
      </c>
      <c r="B1129" s="83" t="s">
        <v>2110</v>
      </c>
      <c r="C1129" s="84">
        <v>761.1555631680003</v>
      </c>
      <c r="D1129" s="51"/>
      <c r="E1129"/>
    </row>
    <row r="1130" spans="1:5">
      <c r="A1130" s="82">
        <v>10735</v>
      </c>
      <c r="B1130" s="83" t="s">
        <v>2111</v>
      </c>
      <c r="C1130" s="84">
        <v>5800.5407940480018</v>
      </c>
      <c r="D1130" s="51"/>
      <c r="E1130"/>
    </row>
    <row r="1131" spans="1:5">
      <c r="A1131" s="82">
        <v>10763</v>
      </c>
      <c r="B1131" s="83" t="s">
        <v>2112</v>
      </c>
      <c r="C1131" s="84">
        <v>8783.6400812160027</v>
      </c>
      <c r="D1131" s="51"/>
      <c r="E1131"/>
    </row>
    <row r="1132" spans="1:5">
      <c r="A1132" s="82">
        <v>10767</v>
      </c>
      <c r="B1132" s="83" t="s">
        <v>2113</v>
      </c>
      <c r="C1132" s="84">
        <v>4377.2937848640013</v>
      </c>
      <c r="D1132" s="51"/>
      <c r="E1132"/>
    </row>
    <row r="1133" spans="1:5">
      <c r="A1133" s="82">
        <v>10801</v>
      </c>
      <c r="B1133" s="83" t="s">
        <v>2114</v>
      </c>
      <c r="C1133" s="84">
        <v>567.07489238400012</v>
      </c>
      <c r="D1133" s="51"/>
      <c r="E1133"/>
    </row>
    <row r="1134" spans="1:5">
      <c r="A1134" s="82">
        <v>10952</v>
      </c>
      <c r="B1134" s="85" t="s">
        <v>2115</v>
      </c>
      <c r="C1134" s="84">
        <v>630.48672086400018</v>
      </c>
      <c r="D1134" s="51"/>
      <c r="E1134"/>
    </row>
    <row r="1135" spans="1:5">
      <c r="A1135" s="82">
        <v>10954</v>
      </c>
      <c r="B1135" s="85" t="s">
        <v>2116</v>
      </c>
      <c r="C1135" s="84">
        <v>1042.4162548800002</v>
      </c>
      <c r="D1135" s="51"/>
      <c r="E1135"/>
    </row>
    <row r="1136" spans="1:5">
      <c r="A1136" s="82">
        <v>10956</v>
      </c>
      <c r="B1136" s="85" t="s">
        <v>2117</v>
      </c>
      <c r="C1136" s="84">
        <v>1744.8821470080009</v>
      </c>
      <c r="D1136" s="51"/>
      <c r="E1136"/>
    </row>
    <row r="1137" spans="1:5">
      <c r="A1137" s="86">
        <v>10958</v>
      </c>
      <c r="B1137" s="87" t="s">
        <v>2118</v>
      </c>
      <c r="C1137" s="84">
        <v>2377.4601090240008</v>
      </c>
      <c r="D1137" s="51"/>
      <c r="E1137"/>
    </row>
    <row r="1138" spans="1:5">
      <c r="A1138" s="107"/>
      <c r="B1138" s="106" t="s">
        <v>2124</v>
      </c>
      <c r="C1138" s="108"/>
      <c r="D1138" s="51"/>
      <c r="E1138"/>
    </row>
    <row r="1139" spans="1:5">
      <c r="A1139" s="82">
        <v>10429</v>
      </c>
      <c r="B1139" s="83" t="s">
        <v>2125</v>
      </c>
      <c r="C1139" s="84">
        <v>4157.9833014720025</v>
      </c>
      <c r="D1139" s="51"/>
      <c r="E1139"/>
    </row>
    <row r="1140" spans="1:5">
      <c r="A1140" s="82">
        <v>10582</v>
      </c>
      <c r="B1140" s="83" t="s">
        <v>2121</v>
      </c>
      <c r="C1140" s="84">
        <v>1190.2535124480005</v>
      </c>
      <c r="D1140" s="51"/>
      <c r="E1140"/>
    </row>
    <row r="1141" spans="1:5">
      <c r="A1141" s="82">
        <v>10605</v>
      </c>
      <c r="B1141" s="83" t="s">
        <v>2126</v>
      </c>
      <c r="C1141" s="84">
        <v>2945.861702784</v>
      </c>
      <c r="D1141" s="51"/>
      <c r="E1141"/>
    </row>
    <row r="1142" spans="1:5">
      <c r="A1142" s="82">
        <v>10619</v>
      </c>
      <c r="B1142" s="83" t="s">
        <v>2127</v>
      </c>
      <c r="C1142" s="84">
        <v>3278.5714241280002</v>
      </c>
      <c r="D1142" s="51"/>
      <c r="E1142"/>
    </row>
    <row r="1143" spans="1:5">
      <c r="A1143" s="82">
        <v>10681</v>
      </c>
      <c r="B1143" s="83" t="s">
        <v>2107</v>
      </c>
      <c r="C1143" s="84">
        <v>481.39022131200016</v>
      </c>
      <c r="D1143" s="51"/>
      <c r="E1143"/>
    </row>
    <row r="1144" spans="1:5">
      <c r="A1144" s="82">
        <v>10696</v>
      </c>
      <c r="B1144" s="83" t="s">
        <v>2128</v>
      </c>
      <c r="C1144" s="84">
        <v>180.16154956800005</v>
      </c>
      <c r="D1144" s="51"/>
      <c r="E1144"/>
    </row>
    <row r="1145" spans="1:5">
      <c r="A1145" s="82">
        <v>10700</v>
      </c>
      <c r="B1145" s="83" t="s">
        <v>2129</v>
      </c>
      <c r="C1145" s="84">
        <v>583.57995696000023</v>
      </c>
      <c r="D1145" s="51"/>
      <c r="E1145"/>
    </row>
    <row r="1146" spans="1:5">
      <c r="A1146" s="82">
        <v>10739</v>
      </c>
      <c r="B1146" s="83" t="s">
        <v>2111</v>
      </c>
      <c r="C1146" s="84">
        <v>5420.6432280000026</v>
      </c>
      <c r="D1146" s="51"/>
      <c r="E1146"/>
    </row>
    <row r="1147" spans="1:5">
      <c r="A1147" s="82">
        <v>10740</v>
      </c>
      <c r="B1147" s="83" t="s">
        <v>2130</v>
      </c>
      <c r="C1147" s="84">
        <v>8301.3391581120013</v>
      </c>
      <c r="D1147" s="51"/>
      <c r="E1147"/>
    </row>
    <row r="1148" spans="1:5">
      <c r="A1148" s="82">
        <v>10786</v>
      </c>
      <c r="B1148" s="83" t="s">
        <v>2131</v>
      </c>
      <c r="C1148" s="84">
        <v>4446.8444180160022</v>
      </c>
      <c r="D1148" s="51"/>
      <c r="E1148"/>
    </row>
    <row r="1149" spans="1:5">
      <c r="A1149" s="82">
        <v>10801</v>
      </c>
      <c r="B1149" s="83" t="s">
        <v>2114</v>
      </c>
      <c r="C1149" s="84">
        <v>567.07489238400012</v>
      </c>
      <c r="D1149" s="51"/>
      <c r="E1149"/>
    </row>
    <row r="1150" spans="1:5">
      <c r="A1150" s="82">
        <v>10952</v>
      </c>
      <c r="B1150" s="85" t="s">
        <v>2115</v>
      </c>
      <c r="C1150" s="84">
        <v>630.48672086400018</v>
      </c>
      <c r="D1150" s="51"/>
      <c r="E1150"/>
    </row>
    <row r="1151" spans="1:5">
      <c r="A1151" s="82">
        <v>10954</v>
      </c>
      <c r="B1151" s="85" t="s">
        <v>2116</v>
      </c>
      <c r="C1151" s="84">
        <v>1042.4162548800002</v>
      </c>
      <c r="D1151" s="51"/>
      <c r="E1151"/>
    </row>
    <row r="1152" spans="1:5">
      <c r="A1152" s="82">
        <v>10956</v>
      </c>
      <c r="B1152" s="85" t="s">
        <v>2117</v>
      </c>
      <c r="C1152" s="84">
        <v>1744.8821470080009</v>
      </c>
      <c r="D1152" s="51"/>
      <c r="E1152"/>
    </row>
    <row r="1153" spans="1:5">
      <c r="A1153" s="86">
        <v>10958</v>
      </c>
      <c r="B1153" s="87" t="s">
        <v>2118</v>
      </c>
      <c r="C1153" s="84">
        <v>2377.4601090240008</v>
      </c>
      <c r="D1153" s="51"/>
      <c r="E1153"/>
    </row>
    <row r="1154" spans="1:5">
      <c r="A1154" s="104"/>
      <c r="B1154" s="106" t="s">
        <v>2132</v>
      </c>
      <c r="C1154" s="105"/>
      <c r="D1154" s="51"/>
      <c r="E1154"/>
    </row>
    <row r="1155" spans="1:5">
      <c r="A1155" s="82">
        <v>10427</v>
      </c>
      <c r="B1155" s="83" t="s">
        <v>2133</v>
      </c>
      <c r="C1155" s="84">
        <v>9043.1338757760059</v>
      </c>
      <c r="D1155" s="51"/>
      <c r="E1155"/>
    </row>
    <row r="1156" spans="1:5">
      <c r="A1156" s="82">
        <v>10582</v>
      </c>
      <c r="B1156" s="83" t="s">
        <v>2121</v>
      </c>
      <c r="C1156" s="84">
        <v>1190.2535124480005</v>
      </c>
      <c r="D1156" s="51"/>
      <c r="E1156"/>
    </row>
    <row r="1157" spans="1:5">
      <c r="A1157" s="82">
        <v>10606</v>
      </c>
      <c r="B1157" s="83" t="s">
        <v>2134</v>
      </c>
      <c r="C1157" s="84">
        <v>6646.9425422400018</v>
      </c>
      <c r="D1157" s="51"/>
      <c r="E1157"/>
    </row>
    <row r="1158" spans="1:5">
      <c r="A1158" s="82">
        <v>10635</v>
      </c>
      <c r="B1158" s="83" t="s">
        <v>2135</v>
      </c>
      <c r="C1158" s="84">
        <v>7879.0321209600024</v>
      </c>
      <c r="D1158" s="51"/>
      <c r="E1158"/>
    </row>
    <row r="1159" spans="1:5">
      <c r="A1159" s="82">
        <v>10681</v>
      </c>
      <c r="B1159" s="83" t="s">
        <v>2107</v>
      </c>
      <c r="C1159" s="84">
        <v>481.39022131200016</v>
      </c>
      <c r="D1159" s="51"/>
      <c r="E1159"/>
    </row>
    <row r="1160" spans="1:5">
      <c r="A1160" s="82">
        <v>10691</v>
      </c>
      <c r="B1160" s="83" t="s">
        <v>2108</v>
      </c>
      <c r="C1160" s="84">
        <v>322.41092083200004</v>
      </c>
      <c r="D1160" s="51"/>
      <c r="E1160"/>
    </row>
    <row r="1161" spans="1:5">
      <c r="A1161" s="82">
        <v>10692</v>
      </c>
      <c r="B1161" s="83" t="s">
        <v>2109</v>
      </c>
      <c r="C1161" s="84">
        <v>325.53653932800017</v>
      </c>
      <c r="D1161" s="51"/>
      <c r="E1161"/>
    </row>
    <row r="1162" spans="1:5">
      <c r="A1162" s="82">
        <v>10703</v>
      </c>
      <c r="B1162" s="83" t="s">
        <v>2136</v>
      </c>
      <c r="C1162" s="84">
        <v>1127.0553053760002</v>
      </c>
      <c r="D1162" s="51"/>
      <c r="E1162"/>
    </row>
    <row r="1163" spans="1:5">
      <c r="A1163" s="82">
        <v>10735</v>
      </c>
      <c r="B1163" s="83" t="s">
        <v>2111</v>
      </c>
      <c r="C1163" s="84">
        <v>5800.5407940480018</v>
      </c>
      <c r="D1163" s="51"/>
      <c r="E1163"/>
    </row>
    <row r="1164" spans="1:5">
      <c r="A1164" s="82">
        <v>10737</v>
      </c>
      <c r="B1164" s="83" t="s">
        <v>2130</v>
      </c>
      <c r="C1164" s="84">
        <v>12015.079876800006</v>
      </c>
      <c r="D1164" s="51"/>
      <c r="E1164"/>
    </row>
    <row r="1165" spans="1:5">
      <c r="A1165" s="82">
        <v>10789</v>
      </c>
      <c r="B1165" s="83" t="s">
        <v>2137</v>
      </c>
      <c r="C1165" s="84">
        <v>15097.659280704003</v>
      </c>
      <c r="D1165" s="51"/>
      <c r="E1165"/>
    </row>
    <row r="1166" spans="1:5">
      <c r="A1166" s="82">
        <v>10801</v>
      </c>
      <c r="B1166" s="83" t="s">
        <v>2114</v>
      </c>
      <c r="C1166" s="84">
        <v>567.07489238400012</v>
      </c>
      <c r="D1166" s="51"/>
      <c r="E1166"/>
    </row>
    <row r="1167" spans="1:5">
      <c r="A1167" s="82">
        <v>10952</v>
      </c>
      <c r="B1167" s="85" t="s">
        <v>2115</v>
      </c>
      <c r="C1167" s="84">
        <v>630.48672086400018</v>
      </c>
      <c r="D1167" s="51"/>
      <c r="E1167"/>
    </row>
    <row r="1168" spans="1:5">
      <c r="A1168" s="82">
        <v>10954</v>
      </c>
      <c r="B1168" s="85" t="s">
        <v>2116</v>
      </c>
      <c r="C1168" s="84">
        <v>1042.4162548800002</v>
      </c>
      <c r="D1168" s="51"/>
      <c r="E1168"/>
    </row>
    <row r="1169" spans="1:5">
      <c r="A1169" s="82">
        <v>10956</v>
      </c>
      <c r="B1169" s="85" t="s">
        <v>2117</v>
      </c>
      <c r="C1169" s="84">
        <v>1744.8821470080009</v>
      </c>
      <c r="D1169" s="51"/>
      <c r="E1169"/>
    </row>
    <row r="1170" spans="1:5">
      <c r="A1170" s="86">
        <v>10958</v>
      </c>
      <c r="B1170" s="87" t="s">
        <v>2118</v>
      </c>
      <c r="C1170" s="84">
        <v>2377.4601090240008</v>
      </c>
      <c r="D1170" s="51"/>
      <c r="E1170"/>
    </row>
    <row r="1171" spans="1:5">
      <c r="A1171" s="104"/>
      <c r="B1171" s="106" t="s">
        <v>2139</v>
      </c>
      <c r="C1171" s="105"/>
      <c r="D1171" s="51"/>
      <c r="E1171"/>
    </row>
    <row r="1172" spans="1:5">
      <c r="A1172" s="91">
        <v>33551</v>
      </c>
      <c r="B1172" s="83" t="s">
        <v>2140</v>
      </c>
      <c r="C1172" s="84">
        <v>61762.423859136034</v>
      </c>
      <c r="D1172" s="51"/>
      <c r="E1172"/>
    </row>
    <row r="1173" spans="1:5">
      <c r="A1173" s="82">
        <v>32751</v>
      </c>
      <c r="B1173" s="83" t="s">
        <v>2168</v>
      </c>
      <c r="C1173" s="84">
        <v>168.92956080000005</v>
      </c>
      <c r="D1173" s="51"/>
      <c r="E1173"/>
    </row>
    <row r="1174" spans="1:5">
      <c r="A1174" s="82">
        <v>51636</v>
      </c>
      <c r="B1174" s="83" t="s">
        <v>2141</v>
      </c>
      <c r="C1174" s="84">
        <v>1706.8125634560006</v>
      </c>
      <c r="D1174" s="51"/>
      <c r="E1174"/>
    </row>
    <row r="1175" spans="1:5">
      <c r="A1175" s="82">
        <v>51637</v>
      </c>
      <c r="B1175" s="83" t="s">
        <v>2142</v>
      </c>
      <c r="C1175" s="84">
        <v>2064.0212873280007</v>
      </c>
      <c r="D1175" s="51"/>
      <c r="E1175"/>
    </row>
    <row r="1176" spans="1:5">
      <c r="A1176" s="82">
        <v>51638</v>
      </c>
      <c r="B1176" s="83" t="s">
        <v>2143</v>
      </c>
      <c r="C1176" s="84">
        <v>3050.2438686720006</v>
      </c>
      <c r="D1176" s="51"/>
      <c r="E1176"/>
    </row>
    <row r="1177" spans="1:5">
      <c r="A1177" s="82">
        <v>51639</v>
      </c>
      <c r="B1177" s="83" t="s">
        <v>2144</v>
      </c>
      <c r="C1177" s="84">
        <v>3812.8048358400006</v>
      </c>
      <c r="D1177" s="51"/>
      <c r="E1177"/>
    </row>
    <row r="1178" spans="1:5">
      <c r="A1178" s="99"/>
      <c r="B1178" s="101" t="s">
        <v>2166</v>
      </c>
      <c r="C1178" s="100"/>
      <c r="D1178" s="51"/>
      <c r="E1178"/>
    </row>
    <row r="1179" spans="1:5">
      <c r="A1179" s="92" t="s">
        <v>2071</v>
      </c>
      <c r="B1179" s="93" t="s">
        <v>2072</v>
      </c>
      <c r="C1179" s="94">
        <v>130.13000000000002</v>
      </c>
      <c r="D1179" s="51"/>
      <c r="E1179"/>
    </row>
    <row r="1180" spans="1:5">
      <c r="A1180" s="92" t="s">
        <v>2145</v>
      </c>
      <c r="B1180" s="93" t="s">
        <v>2167</v>
      </c>
      <c r="C1180" s="94">
        <v>174.46000000000004</v>
      </c>
      <c r="D1180" s="51"/>
      <c r="E1180"/>
    </row>
    <row r="1181" spans="1:5" ht="26.4">
      <c r="A1181" s="92" t="s">
        <v>2099</v>
      </c>
      <c r="B1181" s="93" t="s">
        <v>2100</v>
      </c>
      <c r="C1181" s="94">
        <v>151.58000000000001</v>
      </c>
      <c r="D1181" s="51"/>
      <c r="E1181"/>
    </row>
    <row r="1182" spans="1:5">
      <c r="A1182" s="95" t="s">
        <v>2146</v>
      </c>
      <c r="B1182" s="96" t="s">
        <v>2147</v>
      </c>
      <c r="C1182" s="94">
        <v>6881.1600000000008</v>
      </c>
      <c r="D1182" s="51"/>
      <c r="E1182"/>
    </row>
    <row r="1183" spans="1:5" ht="26.4">
      <c r="A1183" s="17" t="s">
        <v>2148</v>
      </c>
      <c r="B1183" s="97" t="s">
        <v>2149</v>
      </c>
      <c r="C1183" s="94">
        <v>22596.86</v>
      </c>
      <c r="D1183" s="51"/>
      <c r="E1183"/>
    </row>
    <row r="1184" spans="1:5" ht="26.4">
      <c r="A1184" s="97" t="s">
        <v>2150</v>
      </c>
      <c r="B1184" s="97" t="s">
        <v>2151</v>
      </c>
      <c r="C1184" s="94">
        <v>33091.630000000005</v>
      </c>
      <c r="D1184" s="51"/>
      <c r="E1184"/>
    </row>
    <row r="1185" spans="1:6">
      <c r="A1185" s="95" t="s">
        <v>2152</v>
      </c>
      <c r="B1185" s="96" t="s">
        <v>2153</v>
      </c>
      <c r="C1185" s="94">
        <v>4593.8276384000001</v>
      </c>
      <c r="D1185" s="51"/>
      <c r="E1185"/>
    </row>
    <row r="1186" spans="1:6">
      <c r="A1186" s="98" t="s">
        <v>2154</v>
      </c>
      <c r="B1186" s="98" t="s">
        <v>2155</v>
      </c>
      <c r="C1186" s="94">
        <v>593.45000000000005</v>
      </c>
      <c r="D1186" s="51"/>
      <c r="E1186"/>
    </row>
    <row r="1187" spans="1:6">
      <c r="A1187" s="98" t="s">
        <v>2156</v>
      </c>
      <c r="B1187" s="98" t="s">
        <v>2157</v>
      </c>
      <c r="C1187" s="94">
        <v>715</v>
      </c>
      <c r="D1187" s="51"/>
      <c r="E1187"/>
    </row>
    <row r="1188" spans="1:6">
      <c r="A1188" s="98" t="s">
        <v>2158</v>
      </c>
      <c r="B1188" s="98" t="s">
        <v>2159</v>
      </c>
      <c r="C1188" s="94">
        <v>1002.4300000000001</v>
      </c>
      <c r="D1188" s="51"/>
      <c r="E1188"/>
    </row>
    <row r="1189" spans="1:6">
      <c r="A1189" s="98" t="s">
        <v>2160</v>
      </c>
      <c r="B1189" s="98" t="s">
        <v>2161</v>
      </c>
      <c r="C1189" s="94">
        <v>1242.67</v>
      </c>
      <c r="D1189" s="51"/>
      <c r="E1189"/>
    </row>
    <row r="1190" spans="1:6" s="119" customFormat="1">
      <c r="A1190" s="98" t="s">
        <v>2162</v>
      </c>
      <c r="B1190" s="98" t="s">
        <v>2163</v>
      </c>
      <c r="C1190" s="94">
        <v>1947.66</v>
      </c>
      <c r="D1190" s="51"/>
      <c r="E1190"/>
      <c r="F1190"/>
    </row>
    <row r="1191" spans="1:6" s="119" customFormat="1">
      <c r="A1191" s="98" t="s">
        <v>2164</v>
      </c>
      <c r="B1191" s="98" t="s">
        <v>2165</v>
      </c>
      <c r="C1191" s="94">
        <v>3374.8</v>
      </c>
      <c r="D1191" s="51"/>
      <c r="E1191"/>
      <c r="F1191"/>
    </row>
    <row r="1192" spans="1:6" s="119" customFormat="1" ht="36.6" customHeight="1">
      <c r="A1192" s="102"/>
      <c r="B1192" s="111" t="s">
        <v>2169</v>
      </c>
      <c r="C1192" s="103"/>
      <c r="D1192" s="51"/>
      <c r="E1192"/>
      <c r="F1192"/>
    </row>
    <row r="1193" spans="1:6" s="119" customFormat="1" ht="30" customHeight="1">
      <c r="A1193" s="97" t="s">
        <v>2170</v>
      </c>
      <c r="B1193" s="97" t="s">
        <v>2171</v>
      </c>
      <c r="C1193" s="94">
        <v>868.0100000000001</v>
      </c>
      <c r="D1193" s="51"/>
      <c r="E1193"/>
      <c r="F1193"/>
    </row>
    <row r="1194" spans="1:6" s="119" customFormat="1" ht="33" customHeight="1">
      <c r="A1194" s="97" t="s">
        <v>2172</v>
      </c>
      <c r="B1194" s="97" t="s">
        <v>2173</v>
      </c>
      <c r="C1194" s="94">
        <v>701.21479999999997</v>
      </c>
      <c r="D1194" s="51"/>
      <c r="E1194"/>
      <c r="F1194"/>
    </row>
    <row r="1195" spans="1:6" s="119" customFormat="1" ht="29.4" customHeight="1">
      <c r="A1195" s="17" t="s">
        <v>2174</v>
      </c>
      <c r="B1195" s="97" t="s">
        <v>2175</v>
      </c>
      <c r="C1195" s="94">
        <v>1186.9000000000001</v>
      </c>
      <c r="D1195" s="51"/>
      <c r="E1195"/>
      <c r="F1195"/>
    </row>
    <row r="1196" spans="1:6" s="119" customFormat="1" ht="29.4" customHeight="1">
      <c r="A1196" s="97" t="s">
        <v>2176</v>
      </c>
      <c r="B1196" s="97" t="s">
        <v>2177</v>
      </c>
      <c r="C1196" s="94">
        <v>992.42000000000019</v>
      </c>
      <c r="D1196" s="51"/>
      <c r="E1196"/>
      <c r="F1196"/>
    </row>
    <row r="1197" spans="1:6" s="119" customFormat="1" ht="33.6" customHeight="1">
      <c r="A1197" s="17" t="s">
        <v>2178</v>
      </c>
      <c r="B1197" s="97" t="s">
        <v>2179</v>
      </c>
      <c r="C1197" s="94">
        <v>1187.9867999999999</v>
      </c>
      <c r="D1197" s="51"/>
      <c r="E1197"/>
      <c r="F1197"/>
    </row>
    <row r="1198" spans="1:6" s="119" customFormat="1" ht="28.2" customHeight="1">
      <c r="A1198" s="17" t="s">
        <v>2180</v>
      </c>
      <c r="B1198" s="97" t="s">
        <v>2181</v>
      </c>
      <c r="C1198" s="94">
        <v>1352.7800000000002</v>
      </c>
      <c r="D1198" s="51"/>
      <c r="E1198"/>
      <c r="F1198"/>
    </row>
    <row r="1199" spans="1:6" s="119" customFormat="1" ht="27" customHeight="1">
      <c r="A1199" s="17" t="s">
        <v>2182</v>
      </c>
      <c r="B1199" s="97" t="s">
        <v>2183</v>
      </c>
      <c r="C1199" s="94">
        <v>483.34000000000003</v>
      </c>
      <c r="D1199" s="51"/>
      <c r="E1199"/>
      <c r="F1199"/>
    </row>
    <row r="1200" spans="1:6" s="119" customFormat="1" ht="32.4" customHeight="1">
      <c r="A1200" s="17" t="s">
        <v>2184</v>
      </c>
      <c r="B1200" s="97" t="s">
        <v>2185</v>
      </c>
      <c r="C1200" s="94">
        <v>430.43000000000006</v>
      </c>
      <c r="D1200" s="51"/>
      <c r="E1200"/>
      <c r="F1200"/>
    </row>
    <row r="1201" spans="1:6" s="119" customFormat="1" ht="38.4" customHeight="1">
      <c r="A1201" s="98" t="s">
        <v>2186</v>
      </c>
      <c r="B1201" s="98" t="s">
        <v>2187</v>
      </c>
      <c r="C1201" s="94">
        <v>248.82000000000002</v>
      </c>
      <c r="D1201" s="51"/>
      <c r="E1201"/>
      <c r="F1201"/>
    </row>
    <row r="1202" spans="1:6" s="119" customFormat="1" ht="34.799999999999997" customHeight="1">
      <c r="A1202" s="17"/>
      <c r="B1202" s="17" t="s">
        <v>2070</v>
      </c>
      <c r="C1202" s="56">
        <v>20000</v>
      </c>
      <c r="D1202" s="51"/>
      <c r="E1202"/>
      <c r="F1202"/>
    </row>
    <row r="1203" spans="1:6" s="119" customFormat="1" ht="27.6" customHeight="1">
      <c r="A1203" s="115"/>
      <c r="B1203" s="116" t="s">
        <v>2188</v>
      </c>
      <c r="C1203" s="117"/>
      <c r="D1203" s="118"/>
      <c r="E1203"/>
      <c r="F1203"/>
    </row>
    <row r="1204" spans="1:6" s="119" customFormat="1" ht="30" customHeight="1">
      <c r="A1204" s="115"/>
      <c r="B1204" s="116" t="s">
        <v>2189</v>
      </c>
      <c r="C1204" s="118"/>
      <c r="D1204" s="118"/>
      <c r="E1204"/>
      <c r="F1204"/>
    </row>
    <row r="1205" spans="1:6" s="119" customFormat="1" ht="27.6" customHeight="1">
      <c r="A1205" s="125" t="s">
        <v>2212</v>
      </c>
      <c r="B1205" s="120" t="s">
        <v>2190</v>
      </c>
      <c r="C1205" s="129">
        <v>75458.5</v>
      </c>
      <c r="D1205" s="128">
        <f>C1205/317</f>
        <v>238.03943217665616</v>
      </c>
      <c r="E1205"/>
      <c r="F1205"/>
    </row>
    <row r="1206" spans="1:6" s="119" customFormat="1" ht="29.4" customHeight="1">
      <c r="A1206" s="125" t="s">
        <v>2212</v>
      </c>
      <c r="B1206" s="121" t="s">
        <v>2191</v>
      </c>
      <c r="C1206" s="129">
        <v>87339.199999999997</v>
      </c>
      <c r="D1206" s="128">
        <f t="shared" ref="D1206:D1269" si="6">C1206/317</f>
        <v>275.51798107255519</v>
      </c>
      <c r="E1206"/>
      <c r="F1206"/>
    </row>
    <row r="1207" spans="1:6" s="119" customFormat="1" ht="27.6" customHeight="1">
      <c r="A1207" s="125" t="s">
        <v>2213</v>
      </c>
      <c r="B1207" s="121" t="s">
        <v>2192</v>
      </c>
      <c r="C1207" s="129">
        <v>92476.800000000003</v>
      </c>
      <c r="D1207" s="128">
        <f t="shared" si="6"/>
        <v>291.7249211356467</v>
      </c>
      <c r="E1207"/>
      <c r="F1207"/>
    </row>
    <row r="1208" spans="1:6" s="119" customFormat="1" ht="25.2" customHeight="1">
      <c r="A1208" s="125" t="s">
        <v>2213</v>
      </c>
      <c r="B1208" s="121" t="s">
        <v>2193</v>
      </c>
      <c r="C1208" s="129">
        <v>105320.8</v>
      </c>
      <c r="D1208" s="128">
        <f t="shared" si="6"/>
        <v>332.24227129337538</v>
      </c>
      <c r="E1208"/>
      <c r="F1208"/>
    </row>
    <row r="1209" spans="1:6" s="119" customFormat="1" ht="27.6" customHeight="1">
      <c r="A1209" s="125" t="s">
        <v>2214</v>
      </c>
      <c r="B1209" s="122" t="s">
        <v>2194</v>
      </c>
      <c r="C1209" s="129">
        <v>104357.49999999999</v>
      </c>
      <c r="D1209" s="128">
        <f t="shared" si="6"/>
        <v>329.20347003154569</v>
      </c>
      <c r="E1209"/>
      <c r="F1209"/>
    </row>
    <row r="1210" spans="1:6" s="119" customFormat="1" ht="30" customHeight="1">
      <c r="A1210" s="125" t="s">
        <v>2214</v>
      </c>
      <c r="B1210" s="121" t="s">
        <v>2195</v>
      </c>
      <c r="C1210" s="129">
        <v>117201.5</v>
      </c>
      <c r="D1210" s="128">
        <f t="shared" si="6"/>
        <v>369.72082018927443</v>
      </c>
      <c r="E1210"/>
      <c r="F1210"/>
    </row>
    <row r="1211" spans="1:6" s="119" customFormat="1" ht="27.6" customHeight="1">
      <c r="A1211" s="125" t="s">
        <v>2215</v>
      </c>
      <c r="B1211" s="121" t="s">
        <v>2196</v>
      </c>
      <c r="C1211" s="129">
        <v>113990.50000000001</v>
      </c>
      <c r="D1211" s="128">
        <f t="shared" si="6"/>
        <v>359.59148264984231</v>
      </c>
      <c r="E1211"/>
      <c r="F1211"/>
    </row>
    <row r="1212" spans="1:6" s="119" customFormat="1" ht="27.6" customHeight="1">
      <c r="A1212" s="125" t="s">
        <v>2215</v>
      </c>
      <c r="B1212" s="121" t="s">
        <v>2197</v>
      </c>
      <c r="C1212" s="129">
        <v>125229</v>
      </c>
      <c r="D1212" s="128">
        <f t="shared" si="6"/>
        <v>395.0441640378549</v>
      </c>
      <c r="E1212"/>
      <c r="F1212"/>
    </row>
    <row r="1213" spans="1:6" s="119" customFormat="1" ht="45" customHeight="1">
      <c r="A1213" s="125" t="s">
        <v>2216</v>
      </c>
      <c r="B1213" s="121" t="s">
        <v>2198</v>
      </c>
      <c r="C1213" s="129">
        <v>137430.80000000002</v>
      </c>
      <c r="D1213" s="128">
        <f t="shared" si="6"/>
        <v>433.53564668769724</v>
      </c>
      <c r="E1213"/>
      <c r="F1213"/>
    </row>
    <row r="1214" spans="1:6" s="119" customFormat="1" ht="15" customHeight="1">
      <c r="A1214" s="125" t="s">
        <v>2216</v>
      </c>
      <c r="B1214" s="121" t="s">
        <v>2199</v>
      </c>
      <c r="C1214" s="129">
        <v>119770.3</v>
      </c>
      <c r="D1214" s="128">
        <f t="shared" si="6"/>
        <v>377.82429022082022</v>
      </c>
      <c r="E1214"/>
      <c r="F1214"/>
    </row>
    <row r="1215" spans="1:6" s="119" customFormat="1" ht="31.2" customHeight="1">
      <c r="A1215" s="125" t="s">
        <v>2217</v>
      </c>
      <c r="B1215" s="122" t="s">
        <v>2200</v>
      </c>
      <c r="C1215" s="129">
        <v>92476.800000000003</v>
      </c>
      <c r="D1215" s="128">
        <f t="shared" si="6"/>
        <v>291.7249211356467</v>
      </c>
      <c r="E1215"/>
      <c r="F1215"/>
    </row>
    <row r="1216" spans="1:6" s="119" customFormat="1" ht="28.2" customHeight="1">
      <c r="A1216" s="125" t="s">
        <v>2217</v>
      </c>
      <c r="B1216" s="121" t="s">
        <v>2201</v>
      </c>
      <c r="C1216" s="129">
        <v>113990.50000000001</v>
      </c>
      <c r="D1216" s="128">
        <f t="shared" si="6"/>
        <v>359.59148264984231</v>
      </c>
      <c r="E1216"/>
      <c r="F1216"/>
    </row>
    <row r="1217" spans="1:16" s="119" customFormat="1" ht="28.8" customHeight="1">
      <c r="A1217" s="125" t="s">
        <v>2218</v>
      </c>
      <c r="B1217" s="121" t="s">
        <v>2202</v>
      </c>
      <c r="C1217" s="129">
        <v>121375.79999999999</v>
      </c>
      <c r="D1217" s="128">
        <f t="shared" si="6"/>
        <v>382.88895899053625</v>
      </c>
      <c r="E1217"/>
      <c r="F1217"/>
    </row>
    <row r="1218" spans="1:16" s="119" customFormat="1" ht="30.6" customHeight="1">
      <c r="A1218" s="125" t="s">
        <v>2218</v>
      </c>
      <c r="B1218" s="121" t="s">
        <v>2203</v>
      </c>
      <c r="C1218" s="129">
        <v>107568.49999999999</v>
      </c>
      <c r="D1218" s="128">
        <f t="shared" si="6"/>
        <v>339.33280757097788</v>
      </c>
      <c r="E1218"/>
      <c r="F1218"/>
    </row>
    <row r="1219" spans="1:16" s="119" customFormat="1" ht="26.4">
      <c r="A1219" s="125" t="s">
        <v>2219</v>
      </c>
      <c r="B1219" s="121" t="s">
        <v>2204</v>
      </c>
      <c r="C1219" s="129">
        <v>101146.5</v>
      </c>
      <c r="D1219" s="128">
        <f t="shared" si="6"/>
        <v>319.07413249211356</v>
      </c>
      <c r="E1219"/>
      <c r="F1219"/>
    </row>
    <row r="1220" spans="1:16" s="119" customFormat="1" ht="30" customHeight="1">
      <c r="A1220" s="125" t="s">
        <v>2219</v>
      </c>
      <c r="B1220" s="121" t="s">
        <v>2205</v>
      </c>
      <c r="C1220" s="129">
        <v>118807</v>
      </c>
      <c r="D1220" s="128">
        <f t="shared" si="6"/>
        <v>374.78548895899053</v>
      </c>
      <c r="E1220"/>
      <c r="F1220"/>
    </row>
    <row r="1221" spans="1:16" s="119" customFormat="1" ht="33" customHeight="1">
      <c r="A1221" s="125" t="s">
        <v>2220</v>
      </c>
      <c r="B1221" s="121" t="s">
        <v>2206</v>
      </c>
      <c r="C1221" s="129">
        <v>115596</v>
      </c>
      <c r="D1221" s="128">
        <f t="shared" si="6"/>
        <v>364.65615141955834</v>
      </c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6" s="119" customFormat="1" ht="30" customHeight="1">
      <c r="A1222" s="125" t="s">
        <v>2220</v>
      </c>
      <c r="B1222" s="121" t="s">
        <v>2207</v>
      </c>
      <c r="C1222" s="129">
        <v>134862</v>
      </c>
      <c r="D1222" s="128">
        <f t="shared" si="6"/>
        <v>425.4321766561514</v>
      </c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6" s="119" customFormat="1" ht="34.200000000000003" customHeight="1">
      <c r="A1223" s="125" t="s">
        <v>2221</v>
      </c>
      <c r="B1223" s="121" t="s">
        <v>2208</v>
      </c>
      <c r="C1223" s="129">
        <v>159265.60000000001</v>
      </c>
      <c r="D1223" s="128">
        <f t="shared" si="6"/>
        <v>502.41514195583596</v>
      </c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6" s="119" customFormat="1" ht="27.6" customHeight="1">
      <c r="A1224" s="125" t="s">
        <v>2221</v>
      </c>
      <c r="B1224" s="121" t="s">
        <v>2209</v>
      </c>
      <c r="C1224" s="129">
        <v>137109.70000000001</v>
      </c>
      <c r="D1224" s="128">
        <f t="shared" si="6"/>
        <v>432.52271293375401</v>
      </c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6" s="119" customFormat="1" ht="29.4" customHeight="1">
      <c r="A1225" s="125" t="s">
        <v>2222</v>
      </c>
      <c r="B1225" s="121" t="s">
        <v>2210</v>
      </c>
      <c r="C1225" s="129">
        <v>170183</v>
      </c>
      <c r="D1225" s="128">
        <f t="shared" si="6"/>
        <v>536.85488958990538</v>
      </c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6" s="119" customFormat="1" ht="39.6">
      <c r="A1226" s="125" t="s">
        <v>2222</v>
      </c>
      <c r="B1226" s="123" t="s">
        <v>2211</v>
      </c>
      <c r="C1226" s="129">
        <v>192660</v>
      </c>
      <c r="D1226" s="128">
        <f t="shared" si="6"/>
        <v>607.76025236593057</v>
      </c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6" s="119" customFormat="1" ht="30" customHeight="1">
      <c r="A1227" s="115"/>
      <c r="B1227" s="116" t="s">
        <v>2223</v>
      </c>
      <c r="C1227" s="129">
        <v>0</v>
      </c>
      <c r="D1227" s="128">
        <f t="shared" si="6"/>
        <v>0</v>
      </c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6" s="119" customFormat="1" ht="28.8" customHeight="1">
      <c r="A1228" s="125" t="s">
        <v>2255</v>
      </c>
      <c r="B1228" s="124" t="s">
        <v>2224</v>
      </c>
      <c r="C1228" s="129">
        <v>136146.4</v>
      </c>
      <c r="D1228" s="128">
        <f t="shared" si="6"/>
        <v>429.48391167192426</v>
      </c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6" ht="33.6" customHeight="1">
      <c r="A1229" s="125" t="s">
        <v>2256</v>
      </c>
      <c r="B1229" s="113" t="s">
        <v>2225</v>
      </c>
      <c r="C1229" s="129">
        <v>241467.2</v>
      </c>
      <c r="D1229" s="128">
        <f t="shared" si="6"/>
        <v>761.7261829652997</v>
      </c>
      <c r="E1229"/>
    </row>
    <row r="1230" spans="1:16" ht="29.4" customHeight="1">
      <c r="A1230" s="125" t="s">
        <v>2255</v>
      </c>
      <c r="B1230" s="113" t="s">
        <v>2226</v>
      </c>
      <c r="C1230" s="129">
        <v>122018</v>
      </c>
      <c r="D1230" s="128">
        <f t="shared" si="6"/>
        <v>384.91482649842271</v>
      </c>
      <c r="E1230"/>
    </row>
    <row r="1231" spans="1:16" ht="30.6" customHeight="1">
      <c r="A1231" s="125" t="s">
        <v>2256</v>
      </c>
      <c r="B1231" s="114" t="s">
        <v>2227</v>
      </c>
      <c r="C1231" s="129">
        <v>215136.99999999997</v>
      </c>
      <c r="D1231" s="128">
        <f t="shared" si="6"/>
        <v>678.66561514195575</v>
      </c>
      <c r="E1231"/>
    </row>
    <row r="1232" spans="1:16" ht="28.2" customHeight="1">
      <c r="A1232" s="115"/>
      <c r="B1232" s="116" t="s">
        <v>2228</v>
      </c>
      <c r="C1232" s="129">
        <v>0</v>
      </c>
      <c r="D1232" s="128">
        <f t="shared" si="6"/>
        <v>0</v>
      </c>
      <c r="E1232"/>
    </row>
    <row r="1233" spans="1:5" ht="27" customHeight="1">
      <c r="A1233" s="125" t="s">
        <v>2252</v>
      </c>
      <c r="B1233" s="124" t="s">
        <v>2229</v>
      </c>
      <c r="C1233" s="129">
        <v>194265.50000000003</v>
      </c>
      <c r="D1233" s="128">
        <f t="shared" si="6"/>
        <v>612.82492113564683</v>
      </c>
      <c r="E1233"/>
    </row>
    <row r="1234" spans="1:5" ht="28.8" customHeight="1">
      <c r="A1234" s="126" t="s">
        <v>2252</v>
      </c>
      <c r="B1234" s="113" t="s">
        <v>2230</v>
      </c>
      <c r="C1234" s="129">
        <v>166972.00000000003</v>
      </c>
      <c r="D1234" s="128">
        <f t="shared" si="6"/>
        <v>526.72555205047331</v>
      </c>
      <c r="E1234"/>
    </row>
    <row r="1235" spans="1:5" ht="28.8">
      <c r="A1235" s="125" t="s">
        <v>2253</v>
      </c>
      <c r="B1235" s="113" t="s">
        <v>2231</v>
      </c>
      <c r="C1235" s="129">
        <v>178852.7</v>
      </c>
      <c r="D1235" s="128">
        <f t="shared" si="6"/>
        <v>564.20410094637225</v>
      </c>
      <c r="E1235"/>
    </row>
    <row r="1236" spans="1:5" ht="28.8">
      <c r="A1236" s="125" t="s">
        <v>2253</v>
      </c>
      <c r="B1236" s="113" t="s">
        <v>2232</v>
      </c>
      <c r="C1236" s="129">
        <v>156696.79999999999</v>
      </c>
      <c r="D1236" s="128">
        <f t="shared" si="6"/>
        <v>494.31167192429018</v>
      </c>
      <c r="E1236"/>
    </row>
    <row r="1237" spans="1:5" ht="27.6" customHeight="1">
      <c r="A1237" s="125" t="s">
        <v>2254</v>
      </c>
      <c r="B1237" s="113" t="s">
        <v>2233</v>
      </c>
      <c r="C1237" s="129">
        <v>205504</v>
      </c>
      <c r="D1237" s="128">
        <f t="shared" si="6"/>
        <v>648.27760252365931</v>
      </c>
      <c r="E1237"/>
    </row>
    <row r="1238" spans="1:5" ht="27" customHeight="1">
      <c r="A1238" s="125" t="s">
        <v>2254</v>
      </c>
      <c r="B1238" s="114" t="s">
        <v>2234</v>
      </c>
      <c r="C1238" s="129">
        <v>232155.3</v>
      </c>
      <c r="D1238" s="128">
        <f t="shared" si="6"/>
        <v>732.35110410094637</v>
      </c>
      <c r="E1238"/>
    </row>
    <row r="1239" spans="1:5" ht="25.8" customHeight="1">
      <c r="A1239" s="115"/>
      <c r="B1239" s="116" t="s">
        <v>2235</v>
      </c>
      <c r="C1239" s="129">
        <v>0</v>
      </c>
      <c r="D1239" s="128">
        <f t="shared" si="6"/>
        <v>0</v>
      </c>
      <c r="E1239"/>
    </row>
    <row r="1240" spans="1:5" ht="25.8" customHeight="1">
      <c r="A1240" s="125" t="s">
        <v>2244</v>
      </c>
      <c r="B1240" s="124" t="s">
        <v>2236</v>
      </c>
      <c r="C1240" s="129">
        <v>28256.799999999999</v>
      </c>
      <c r="D1240" s="128">
        <f t="shared" si="6"/>
        <v>89.138170347003154</v>
      </c>
      <c r="E1240"/>
    </row>
    <row r="1241" spans="1:5" ht="29.4" customHeight="1">
      <c r="A1241" s="125" t="s">
        <v>2245</v>
      </c>
      <c r="B1241" s="113" t="s">
        <v>2237</v>
      </c>
      <c r="C1241" s="129">
        <v>33715.5</v>
      </c>
      <c r="D1241" s="128">
        <f t="shared" si="6"/>
        <v>106.35804416403785</v>
      </c>
      <c r="E1241"/>
    </row>
    <row r="1242" spans="1:5" ht="27" customHeight="1">
      <c r="A1242" s="125" t="s">
        <v>2246</v>
      </c>
      <c r="B1242" s="113" t="s">
        <v>2238</v>
      </c>
      <c r="C1242" s="129">
        <v>39816.400000000001</v>
      </c>
      <c r="D1242" s="128">
        <f t="shared" si="6"/>
        <v>125.60378548895899</v>
      </c>
      <c r="E1242"/>
    </row>
    <row r="1243" spans="1:5" ht="31.2" customHeight="1">
      <c r="A1243" s="125" t="s">
        <v>2247</v>
      </c>
      <c r="B1243" s="113" t="s">
        <v>2239</v>
      </c>
      <c r="C1243" s="129">
        <v>46559.5</v>
      </c>
      <c r="D1243" s="128">
        <f t="shared" si="6"/>
        <v>146.87539432176655</v>
      </c>
      <c r="E1243"/>
    </row>
    <row r="1244" spans="1:5" ht="28.8" customHeight="1">
      <c r="A1244" s="125" t="s">
        <v>2248</v>
      </c>
      <c r="B1244" s="113" t="s">
        <v>2240</v>
      </c>
      <c r="C1244" s="129">
        <v>51376</v>
      </c>
      <c r="D1244" s="128">
        <f t="shared" si="6"/>
        <v>162.06940063091483</v>
      </c>
      <c r="E1244"/>
    </row>
    <row r="1245" spans="1:5" ht="26.4" customHeight="1">
      <c r="A1245" s="125" t="s">
        <v>2249</v>
      </c>
      <c r="B1245" s="113" t="s">
        <v>2241</v>
      </c>
      <c r="C1245" s="129">
        <v>41743.000000000007</v>
      </c>
      <c r="D1245" s="128">
        <f t="shared" si="6"/>
        <v>131.68138801261833</v>
      </c>
      <c r="E1245"/>
    </row>
    <row r="1246" spans="1:5" ht="28.8">
      <c r="A1246" s="125" t="s">
        <v>2250</v>
      </c>
      <c r="B1246" s="113" t="s">
        <v>2242</v>
      </c>
      <c r="C1246" s="129">
        <v>48165</v>
      </c>
      <c r="D1246" s="128">
        <f t="shared" si="6"/>
        <v>151.94006309148264</v>
      </c>
      <c r="E1246"/>
    </row>
    <row r="1247" spans="1:5" ht="28.8">
      <c r="A1247" s="125" t="s">
        <v>2251</v>
      </c>
      <c r="B1247" s="114" t="s">
        <v>2243</v>
      </c>
      <c r="C1247" s="129">
        <v>56192.5</v>
      </c>
      <c r="D1247" s="128">
        <f t="shared" si="6"/>
        <v>177.26340694006308</v>
      </c>
      <c r="E1247"/>
    </row>
    <row r="1248" spans="1:5">
      <c r="A1248" s="17"/>
      <c r="B1248" s="33" t="s">
        <v>2257</v>
      </c>
      <c r="C1248" s="129">
        <v>0</v>
      </c>
      <c r="D1248" s="128">
        <f t="shared" si="6"/>
        <v>0</v>
      </c>
      <c r="E1248"/>
    </row>
    <row r="1249" spans="1:5">
      <c r="A1249" s="17"/>
      <c r="B1249" s="33" t="s">
        <v>2258</v>
      </c>
      <c r="C1249" s="129">
        <v>0</v>
      </c>
      <c r="D1249" s="128">
        <f t="shared" si="6"/>
        <v>0</v>
      </c>
      <c r="E1249"/>
    </row>
    <row r="1250" spans="1:5" ht="28.8">
      <c r="A1250" s="25" t="s">
        <v>2343</v>
      </c>
      <c r="B1250" s="124" t="s">
        <v>2259</v>
      </c>
      <c r="C1250" s="129">
        <v>18302.7</v>
      </c>
      <c r="D1250" s="128">
        <f t="shared" si="6"/>
        <v>57.73722397476341</v>
      </c>
      <c r="E1250"/>
    </row>
    <row r="1251" spans="1:5" ht="28.8">
      <c r="A1251" s="25" t="s">
        <v>2344</v>
      </c>
      <c r="B1251" s="113" t="s">
        <v>2260</v>
      </c>
      <c r="C1251" s="129">
        <v>18302.7</v>
      </c>
      <c r="D1251" s="128">
        <f t="shared" si="6"/>
        <v>57.73722397476341</v>
      </c>
      <c r="E1251"/>
    </row>
    <row r="1252" spans="1:5" ht="28.8">
      <c r="A1252" s="25" t="s">
        <v>2345</v>
      </c>
      <c r="B1252" s="113" t="s">
        <v>2261</v>
      </c>
      <c r="C1252" s="129">
        <v>25688</v>
      </c>
      <c r="D1252" s="128">
        <f t="shared" si="6"/>
        <v>81.034700315457414</v>
      </c>
      <c r="E1252"/>
    </row>
    <row r="1253" spans="1:5" ht="28.8">
      <c r="A1253" s="25" t="s">
        <v>2346</v>
      </c>
      <c r="B1253" s="113" t="s">
        <v>2262</v>
      </c>
      <c r="C1253" s="129">
        <v>25688</v>
      </c>
      <c r="D1253" s="128">
        <f t="shared" si="6"/>
        <v>81.034700315457414</v>
      </c>
      <c r="E1253"/>
    </row>
    <row r="1254" spans="1:5" ht="28.8">
      <c r="A1254" s="25" t="s">
        <v>2347</v>
      </c>
      <c r="B1254" s="113" t="s">
        <v>2263</v>
      </c>
      <c r="C1254" s="129">
        <v>33715.5</v>
      </c>
      <c r="D1254" s="128">
        <f t="shared" si="6"/>
        <v>106.35804416403785</v>
      </c>
      <c r="E1254"/>
    </row>
    <row r="1255" spans="1:5" ht="29.4" customHeight="1">
      <c r="A1255" s="25" t="s">
        <v>2348</v>
      </c>
      <c r="B1255" s="113" t="s">
        <v>2264</v>
      </c>
      <c r="C1255" s="129">
        <v>33715.5</v>
      </c>
      <c r="D1255" s="128">
        <f t="shared" si="6"/>
        <v>106.35804416403785</v>
      </c>
      <c r="E1255"/>
    </row>
    <row r="1256" spans="1:5" ht="28.8">
      <c r="A1256" s="25" t="s">
        <v>2349</v>
      </c>
      <c r="B1256" s="113" t="s">
        <v>2265</v>
      </c>
      <c r="C1256" s="129">
        <v>35321</v>
      </c>
      <c r="D1256" s="128">
        <f t="shared" si="6"/>
        <v>111.42271293375394</v>
      </c>
      <c r="E1256"/>
    </row>
    <row r="1257" spans="1:5" ht="28.8">
      <c r="A1257" s="25" t="s">
        <v>2350</v>
      </c>
      <c r="B1257" s="113" t="s">
        <v>2266</v>
      </c>
      <c r="C1257" s="129">
        <v>35321</v>
      </c>
      <c r="D1257" s="128">
        <f t="shared" si="6"/>
        <v>111.42271293375394</v>
      </c>
      <c r="E1257"/>
    </row>
    <row r="1258" spans="1:5">
      <c r="A1258" s="25" t="s">
        <v>2351</v>
      </c>
      <c r="B1258" s="114" t="s">
        <v>2267</v>
      </c>
      <c r="C1258" s="129">
        <v>25822.9</v>
      </c>
      <c r="D1258" s="128">
        <f t="shared" si="6"/>
        <v>81.4602523659306</v>
      </c>
      <c r="E1258"/>
    </row>
    <row r="1259" spans="1:5">
      <c r="A1259" s="15"/>
      <c r="B1259" s="33" t="s">
        <v>2268</v>
      </c>
      <c r="C1259" s="129">
        <v>0</v>
      </c>
      <c r="D1259" s="128">
        <f t="shared" si="6"/>
        <v>0</v>
      </c>
      <c r="E1259"/>
    </row>
    <row r="1260" spans="1:5" ht="28.8">
      <c r="A1260" s="25" t="s">
        <v>2337</v>
      </c>
      <c r="B1260" s="124" t="s">
        <v>2269</v>
      </c>
      <c r="C1260" s="129">
        <v>11238.5</v>
      </c>
      <c r="D1260" s="128">
        <f t="shared" si="6"/>
        <v>35.452681388012621</v>
      </c>
      <c r="E1260"/>
    </row>
    <row r="1261" spans="1:5" ht="28.8">
      <c r="A1261" s="25" t="s">
        <v>2338</v>
      </c>
      <c r="B1261" s="113" t="s">
        <v>2270</v>
      </c>
      <c r="C1261" s="129">
        <v>14449.5</v>
      </c>
      <c r="D1261" s="128">
        <f t="shared" si="6"/>
        <v>45.582018927444793</v>
      </c>
      <c r="E1261"/>
    </row>
    <row r="1262" spans="1:5" ht="28.8">
      <c r="A1262" s="127">
        <v>322002615</v>
      </c>
      <c r="B1262" s="113" t="s">
        <v>2271</v>
      </c>
      <c r="C1262" s="129">
        <v>16755.150000000001</v>
      </c>
      <c r="D1262" s="128">
        <f t="shared" si="6"/>
        <v>52.855362776025238</v>
      </c>
      <c r="E1262"/>
    </row>
    <row r="1263" spans="1:5" ht="28.8">
      <c r="A1263" s="25" t="s">
        <v>2339</v>
      </c>
      <c r="B1263" s="113" t="s">
        <v>2272</v>
      </c>
      <c r="C1263" s="129">
        <v>16055</v>
      </c>
      <c r="D1263" s="128">
        <f t="shared" si="6"/>
        <v>50.646687697160885</v>
      </c>
      <c r="E1263"/>
    </row>
    <row r="1264" spans="1:5" ht="28.8">
      <c r="A1264" s="25" t="s">
        <v>2340</v>
      </c>
      <c r="B1264" s="113" t="s">
        <v>2273</v>
      </c>
      <c r="C1264" s="129">
        <v>19266</v>
      </c>
      <c r="D1264" s="128">
        <f t="shared" si="6"/>
        <v>60.776025236593057</v>
      </c>
      <c r="E1264"/>
    </row>
    <row r="1265" spans="1:5" ht="28.8">
      <c r="A1265" s="25" t="s">
        <v>2341</v>
      </c>
      <c r="B1265" s="113" t="s">
        <v>2274</v>
      </c>
      <c r="C1265" s="129">
        <v>22477</v>
      </c>
      <c r="D1265" s="128">
        <f t="shared" si="6"/>
        <v>70.905362776025243</v>
      </c>
      <c r="E1265"/>
    </row>
    <row r="1266" spans="1:5">
      <c r="A1266" s="25" t="s">
        <v>2342</v>
      </c>
      <c r="B1266" s="114" t="s">
        <v>2275</v>
      </c>
      <c r="C1266" s="129">
        <v>1252.0999999999999</v>
      </c>
      <c r="D1266" s="128">
        <f t="shared" si="6"/>
        <v>3.9498422712933752</v>
      </c>
      <c r="E1266"/>
    </row>
    <row r="1267" spans="1:5">
      <c r="A1267" s="15"/>
      <c r="B1267" s="33" t="s">
        <v>2276</v>
      </c>
      <c r="C1267" s="129">
        <v>0</v>
      </c>
      <c r="D1267" s="128">
        <f t="shared" si="6"/>
        <v>0</v>
      </c>
      <c r="E1267"/>
    </row>
    <row r="1268" spans="1:5" ht="28.8">
      <c r="A1268" s="25" t="s">
        <v>2331</v>
      </c>
      <c r="B1268" s="124" t="s">
        <v>2277</v>
      </c>
      <c r="C1268" s="129">
        <v>9633</v>
      </c>
      <c r="D1268" s="128">
        <f t="shared" si="6"/>
        <v>30.388012618296528</v>
      </c>
      <c r="E1268"/>
    </row>
    <row r="1269" spans="1:5" ht="28.8">
      <c r="A1269" s="25" t="s">
        <v>2332</v>
      </c>
      <c r="B1269" s="113" t="s">
        <v>2278</v>
      </c>
      <c r="C1269" s="129">
        <v>16055</v>
      </c>
      <c r="D1269" s="128">
        <f t="shared" si="6"/>
        <v>50.646687697160885</v>
      </c>
      <c r="E1269"/>
    </row>
    <row r="1270" spans="1:5" ht="28.8">
      <c r="A1270" s="25" t="s">
        <v>2333</v>
      </c>
      <c r="B1270" s="113" t="s">
        <v>2279</v>
      </c>
      <c r="C1270" s="129">
        <v>16055</v>
      </c>
      <c r="D1270" s="128">
        <f t="shared" ref="D1270:D1302" si="7">C1270/317</f>
        <v>50.646687697160885</v>
      </c>
      <c r="E1270"/>
    </row>
    <row r="1271" spans="1:5" ht="28.8">
      <c r="A1271" s="25" t="s">
        <v>2334</v>
      </c>
      <c r="B1271" s="113" t="s">
        <v>2280</v>
      </c>
      <c r="C1271" s="129">
        <v>9633</v>
      </c>
      <c r="D1271" s="128">
        <f t="shared" si="7"/>
        <v>30.388012618296528</v>
      </c>
      <c r="E1271"/>
    </row>
    <row r="1272" spans="1:5" ht="28.8">
      <c r="A1272" s="25" t="s">
        <v>2335</v>
      </c>
      <c r="B1272" s="113" t="s">
        <v>2281</v>
      </c>
      <c r="C1272" s="129">
        <v>16055</v>
      </c>
      <c r="D1272" s="128">
        <f t="shared" si="7"/>
        <v>50.646687697160885</v>
      </c>
      <c r="E1272"/>
    </row>
    <row r="1273" spans="1:5" ht="28.8">
      <c r="A1273" s="25" t="s">
        <v>2336</v>
      </c>
      <c r="B1273" s="114" t="s">
        <v>2282</v>
      </c>
      <c r="C1273" s="129">
        <v>16055</v>
      </c>
      <c r="D1273" s="128">
        <f t="shared" si="7"/>
        <v>50.646687697160885</v>
      </c>
      <c r="E1273"/>
    </row>
    <row r="1274" spans="1:5">
      <c r="A1274" s="15"/>
      <c r="B1274" s="33" t="s">
        <v>2283</v>
      </c>
      <c r="C1274" s="129">
        <v>0</v>
      </c>
      <c r="D1274" s="128">
        <f t="shared" si="7"/>
        <v>0</v>
      </c>
      <c r="E1274"/>
    </row>
    <row r="1275" spans="1:5">
      <c r="A1275" s="25" t="s">
        <v>2329</v>
      </c>
      <c r="B1275" s="124" t="s">
        <v>2284</v>
      </c>
      <c r="C1275" s="129">
        <v>16055</v>
      </c>
      <c r="D1275" s="128">
        <f t="shared" si="7"/>
        <v>50.646687697160885</v>
      </c>
      <c r="E1275"/>
    </row>
    <row r="1276" spans="1:5">
      <c r="A1276" s="25" t="s">
        <v>2330</v>
      </c>
      <c r="B1276" s="114" t="s">
        <v>2285</v>
      </c>
      <c r="C1276" s="129">
        <v>16055</v>
      </c>
      <c r="D1276" s="128">
        <f t="shared" si="7"/>
        <v>50.646687697160885</v>
      </c>
      <c r="E1276"/>
    </row>
    <row r="1277" spans="1:5">
      <c r="A1277" s="15"/>
      <c r="B1277" s="33" t="s">
        <v>2286</v>
      </c>
      <c r="C1277" s="129">
        <v>0</v>
      </c>
      <c r="D1277" s="128">
        <f t="shared" si="7"/>
        <v>0</v>
      </c>
      <c r="E1277"/>
    </row>
    <row r="1278" spans="1:5">
      <c r="A1278" s="25" t="s">
        <v>2326</v>
      </c>
      <c r="B1278" s="124" t="s">
        <v>2287</v>
      </c>
      <c r="C1278" s="129">
        <v>558.6</v>
      </c>
      <c r="D1278" s="128">
        <f t="shared" si="7"/>
        <v>1.7621451104100947</v>
      </c>
      <c r="E1278"/>
    </row>
    <row r="1279" spans="1:5" ht="28.8">
      <c r="A1279" s="25" t="s">
        <v>2327</v>
      </c>
      <c r="B1279" s="113" t="s">
        <v>2288</v>
      </c>
      <c r="C1279" s="129">
        <v>1444.95</v>
      </c>
      <c r="D1279" s="128">
        <f t="shared" si="7"/>
        <v>4.5582018927444796</v>
      </c>
      <c r="E1279"/>
    </row>
    <row r="1280" spans="1:5" ht="28.8">
      <c r="A1280" s="25" t="s">
        <v>2327</v>
      </c>
      <c r="B1280" s="113" t="s">
        <v>2289</v>
      </c>
      <c r="C1280" s="129">
        <v>3532.1</v>
      </c>
      <c r="D1280" s="128">
        <f t="shared" si="7"/>
        <v>11.142271293375394</v>
      </c>
      <c r="E1280"/>
    </row>
    <row r="1281" spans="1:5" ht="28.8">
      <c r="A1281" s="25" t="s">
        <v>2328</v>
      </c>
      <c r="B1281" s="113" t="s">
        <v>2290</v>
      </c>
      <c r="C1281" s="129">
        <v>2112.7999999999997</v>
      </c>
      <c r="D1281" s="128">
        <f t="shared" si="7"/>
        <v>6.6649842271293362</v>
      </c>
      <c r="E1281"/>
    </row>
    <row r="1282" spans="1:5" ht="28.8">
      <c r="A1282" s="127">
        <v>321600032</v>
      </c>
      <c r="B1282" s="113" t="s">
        <v>2291</v>
      </c>
      <c r="C1282" s="129">
        <v>2312.3000000000002</v>
      </c>
      <c r="D1282" s="128">
        <f t="shared" si="7"/>
        <v>7.2943217665615148</v>
      </c>
      <c r="E1282"/>
    </row>
    <row r="1283" spans="1:5" ht="28.8">
      <c r="A1283" s="127">
        <v>321600033</v>
      </c>
      <c r="B1283" s="114" t="s">
        <v>2292</v>
      </c>
      <c r="C1283" s="129">
        <v>2896.5499999999997</v>
      </c>
      <c r="D1283" s="128">
        <f t="shared" si="7"/>
        <v>9.1373817034700302</v>
      </c>
      <c r="E1283"/>
    </row>
    <row r="1284" spans="1:5">
      <c r="A1284" s="15"/>
      <c r="B1284" s="33" t="s">
        <v>2293</v>
      </c>
      <c r="C1284" s="129">
        <v>0</v>
      </c>
      <c r="D1284" s="128">
        <f t="shared" si="7"/>
        <v>0</v>
      </c>
      <c r="E1284"/>
    </row>
    <row r="1285" spans="1:5">
      <c r="A1285" s="25" t="s">
        <v>2325</v>
      </c>
      <c r="B1285" s="112" t="s">
        <v>2294</v>
      </c>
      <c r="C1285" s="129">
        <v>4816.5</v>
      </c>
      <c r="D1285" s="128">
        <f t="shared" si="7"/>
        <v>15.194006309148264</v>
      </c>
      <c r="E1285"/>
    </row>
    <row r="1286" spans="1:5">
      <c r="A1286" s="15"/>
      <c r="B1286" s="33" t="s">
        <v>2295</v>
      </c>
      <c r="C1286" s="129">
        <v>0</v>
      </c>
      <c r="D1286" s="128">
        <f t="shared" si="7"/>
        <v>0</v>
      </c>
      <c r="E1286"/>
    </row>
    <row r="1287" spans="1:5" ht="28.8">
      <c r="A1287" s="25" t="s">
        <v>2320</v>
      </c>
      <c r="B1287" s="124" t="s">
        <v>2296</v>
      </c>
      <c r="C1287" s="129">
        <v>2401.6</v>
      </c>
      <c r="D1287" s="128">
        <f t="shared" si="7"/>
        <v>7.5760252365930594</v>
      </c>
      <c r="E1287"/>
    </row>
    <row r="1288" spans="1:5" ht="28.8">
      <c r="A1288" s="25" t="s">
        <v>2061</v>
      </c>
      <c r="B1288" s="113" t="s">
        <v>2297</v>
      </c>
      <c r="C1288" s="129">
        <v>2401.6</v>
      </c>
      <c r="D1288" s="128">
        <f t="shared" si="7"/>
        <v>7.5760252365930594</v>
      </c>
      <c r="E1288"/>
    </row>
    <row r="1289" spans="1:5" ht="28.8">
      <c r="A1289" s="25" t="s">
        <v>2321</v>
      </c>
      <c r="B1289" s="113" t="s">
        <v>2298</v>
      </c>
      <c r="C1289" s="129">
        <v>3464.65</v>
      </c>
      <c r="D1289" s="128">
        <f t="shared" si="7"/>
        <v>10.929495268138801</v>
      </c>
      <c r="E1289"/>
    </row>
    <row r="1290" spans="1:5" ht="22.8" customHeight="1">
      <c r="A1290" s="25" t="s">
        <v>2322</v>
      </c>
      <c r="B1290" s="113" t="s">
        <v>2299</v>
      </c>
      <c r="C1290" s="129">
        <v>3464.65</v>
      </c>
      <c r="D1290" s="128">
        <f t="shared" si="7"/>
        <v>10.929495268138801</v>
      </c>
      <c r="E1290"/>
    </row>
    <row r="1291" spans="1:5">
      <c r="A1291" s="25" t="s">
        <v>2323</v>
      </c>
      <c r="B1291" s="113" t="s">
        <v>2300</v>
      </c>
      <c r="C1291" s="129">
        <v>218.5</v>
      </c>
      <c r="D1291" s="128">
        <f t="shared" si="7"/>
        <v>0.68927444794952686</v>
      </c>
      <c r="E1291"/>
    </row>
    <row r="1292" spans="1:5">
      <c r="A1292" s="25" t="s">
        <v>2324</v>
      </c>
      <c r="B1292" s="114" t="s">
        <v>2301</v>
      </c>
      <c r="C1292" s="129">
        <v>218.5</v>
      </c>
      <c r="D1292" s="128">
        <f t="shared" si="7"/>
        <v>0.68927444794952686</v>
      </c>
      <c r="E1292"/>
    </row>
    <row r="1293" spans="1:5">
      <c r="A1293" s="15"/>
      <c r="B1293" s="33" t="s">
        <v>2302</v>
      </c>
      <c r="C1293" s="129">
        <v>0</v>
      </c>
      <c r="D1293" s="128">
        <f t="shared" si="7"/>
        <v>0</v>
      </c>
      <c r="E1293"/>
    </row>
    <row r="1294" spans="1:5" ht="28.8">
      <c r="A1294" s="25" t="s">
        <v>2314</v>
      </c>
      <c r="B1294" s="124" t="s">
        <v>2303</v>
      </c>
      <c r="C1294" s="129">
        <v>5137.6000000000004</v>
      </c>
      <c r="D1294" s="128">
        <f t="shared" si="7"/>
        <v>16.206940063091483</v>
      </c>
      <c r="E1294"/>
    </row>
    <row r="1295" spans="1:5" ht="28.8">
      <c r="A1295" s="25" t="s">
        <v>2315</v>
      </c>
      <c r="B1295" s="113" t="s">
        <v>2304</v>
      </c>
      <c r="C1295" s="129">
        <v>5137.6000000000004</v>
      </c>
      <c r="D1295" s="128">
        <f t="shared" si="7"/>
        <v>16.206940063091483</v>
      </c>
      <c r="E1295"/>
    </row>
    <row r="1296" spans="1:5" ht="28.8">
      <c r="A1296" s="25" t="s">
        <v>2316</v>
      </c>
      <c r="B1296" s="113" t="s">
        <v>2305</v>
      </c>
      <c r="C1296" s="129">
        <v>7706.4000000000005</v>
      </c>
      <c r="D1296" s="128">
        <f t="shared" si="7"/>
        <v>24.310410094637227</v>
      </c>
      <c r="E1296"/>
    </row>
    <row r="1297" spans="1:5" ht="28.8">
      <c r="A1297" s="25" t="s">
        <v>2317</v>
      </c>
      <c r="B1297" s="113" t="s">
        <v>2306</v>
      </c>
      <c r="C1297" s="129">
        <v>7706.4000000000005</v>
      </c>
      <c r="D1297" s="128">
        <f t="shared" si="7"/>
        <v>24.310410094637227</v>
      </c>
      <c r="E1297"/>
    </row>
    <row r="1298" spans="1:5" ht="28.8">
      <c r="A1298" s="25" t="s">
        <v>2318</v>
      </c>
      <c r="B1298" s="113" t="s">
        <v>2307</v>
      </c>
      <c r="C1298" s="129">
        <v>10275.200000000001</v>
      </c>
      <c r="D1298" s="128">
        <f t="shared" si="7"/>
        <v>32.413880126182967</v>
      </c>
      <c r="E1298"/>
    </row>
    <row r="1299" spans="1:5" ht="28.8">
      <c r="A1299" s="25" t="s">
        <v>2319</v>
      </c>
      <c r="B1299" s="114" t="s">
        <v>2308</v>
      </c>
      <c r="C1299" s="129">
        <v>9633</v>
      </c>
      <c r="D1299" s="128">
        <f t="shared" si="7"/>
        <v>30.388012618296528</v>
      </c>
      <c r="E1299"/>
    </row>
    <row r="1300" spans="1:5">
      <c r="A1300" s="15"/>
      <c r="B1300" s="33" t="s">
        <v>2309</v>
      </c>
      <c r="C1300" s="129">
        <v>0</v>
      </c>
      <c r="D1300" s="128">
        <f t="shared" si="7"/>
        <v>0</v>
      </c>
      <c r="E1300"/>
    </row>
    <row r="1301" spans="1:5" ht="28.8">
      <c r="A1301" s="25" t="s">
        <v>2312</v>
      </c>
      <c r="B1301" s="124" t="s">
        <v>2310</v>
      </c>
      <c r="C1301" s="129">
        <v>6422</v>
      </c>
      <c r="D1301" s="128">
        <f t="shared" si="7"/>
        <v>20.258675078864353</v>
      </c>
      <c r="E1301"/>
    </row>
    <row r="1302" spans="1:5" ht="28.8">
      <c r="A1302" s="25" t="s">
        <v>2313</v>
      </c>
      <c r="B1302" s="114" t="s">
        <v>2311</v>
      </c>
      <c r="C1302" s="129">
        <v>6422</v>
      </c>
      <c r="D1302" s="128">
        <f t="shared" si="7"/>
        <v>20.258675078864353</v>
      </c>
      <c r="E1302"/>
    </row>
    <row r="1303" spans="1:5" ht="15" thickBot="1">
      <c r="A1303" s="17"/>
      <c r="B1303" s="33" t="s">
        <v>2465</v>
      </c>
      <c r="C1303" s="51"/>
      <c r="D1303" s="51"/>
      <c r="E1303"/>
    </row>
    <row r="1304" spans="1:5" ht="15" thickTop="1">
      <c r="A1304" s="133" t="s">
        <v>2361</v>
      </c>
      <c r="B1304" s="134" t="s">
        <v>2362</v>
      </c>
      <c r="C1304" s="138">
        <v>36317.424000000006</v>
      </c>
      <c r="D1304" s="53">
        <f>C1304/317</f>
        <v>114.56600630914828</v>
      </c>
      <c r="E1304"/>
    </row>
    <row r="1305" spans="1:5">
      <c r="A1305" s="135" t="s">
        <v>2363</v>
      </c>
      <c r="B1305" s="136" t="s">
        <v>2364</v>
      </c>
      <c r="C1305" s="139">
        <v>41826.384600000005</v>
      </c>
      <c r="D1305" s="53">
        <f t="shared" ref="D1305:D1355" si="8">C1305/317</f>
        <v>131.94443091482651</v>
      </c>
      <c r="E1305"/>
    </row>
    <row r="1306" spans="1:5">
      <c r="A1306" s="135" t="s">
        <v>2365</v>
      </c>
      <c r="B1306" s="136" t="s">
        <v>2366</v>
      </c>
      <c r="C1306" s="139">
        <v>51175.667400000013</v>
      </c>
      <c r="D1306" s="53">
        <f t="shared" si="8"/>
        <v>161.43743659305997</v>
      </c>
      <c r="E1306"/>
    </row>
    <row r="1307" spans="1:5">
      <c r="A1307" s="135" t="s">
        <v>2367</v>
      </c>
      <c r="B1307" s="136" t="s">
        <v>2368</v>
      </c>
      <c r="C1307" s="139">
        <v>50873.022200000007</v>
      </c>
      <c r="D1307" s="53">
        <f t="shared" si="8"/>
        <v>160.48271987381705</v>
      </c>
      <c r="E1307"/>
    </row>
    <row r="1308" spans="1:5">
      <c r="A1308" s="135" t="s">
        <v>2369</v>
      </c>
      <c r="B1308" s="136" t="s">
        <v>2370</v>
      </c>
      <c r="C1308" s="139">
        <v>51772.778200000008</v>
      </c>
      <c r="D1308" s="53">
        <f t="shared" si="8"/>
        <v>163.32106687697163</v>
      </c>
      <c r="E1308"/>
    </row>
    <row r="1309" spans="1:5">
      <c r="A1309" s="135" t="s">
        <v>2371</v>
      </c>
      <c r="B1309" s="136" t="s">
        <v>2372</v>
      </c>
      <c r="C1309" s="139">
        <v>161821.11660000001</v>
      </c>
      <c r="D1309" s="53">
        <f t="shared" si="8"/>
        <v>510.47670851735018</v>
      </c>
      <c r="E1309"/>
    </row>
    <row r="1310" spans="1:5">
      <c r="A1310" s="135" t="s">
        <v>2373</v>
      </c>
      <c r="B1310" s="136" t="s">
        <v>2374</v>
      </c>
      <c r="C1310" s="139">
        <v>151886.99240000002</v>
      </c>
      <c r="D1310" s="53">
        <f t="shared" si="8"/>
        <v>479.13877728706632</v>
      </c>
      <c r="E1310"/>
    </row>
    <row r="1311" spans="1:5">
      <c r="A1311" s="135" t="s">
        <v>2375</v>
      </c>
      <c r="B1311" s="136" t="s">
        <v>2376</v>
      </c>
      <c r="C1311" s="139">
        <v>182535.95360000004</v>
      </c>
      <c r="D1311" s="53">
        <f t="shared" si="8"/>
        <v>575.82319747634085</v>
      </c>
      <c r="E1311"/>
    </row>
    <row r="1312" spans="1:5">
      <c r="A1312" s="135" t="s">
        <v>2377</v>
      </c>
      <c r="B1312" s="136" t="s">
        <v>2378</v>
      </c>
      <c r="C1312" s="139">
        <v>88989.958200000008</v>
      </c>
      <c r="D1312" s="53">
        <f t="shared" si="8"/>
        <v>280.72542018927447</v>
      </c>
      <c r="E1312"/>
    </row>
    <row r="1313" spans="1:5">
      <c r="A1313" s="135" t="s">
        <v>2379</v>
      </c>
      <c r="B1313" s="136" t="s">
        <v>2380</v>
      </c>
      <c r="C1313" s="139">
        <v>86519.718999999997</v>
      </c>
      <c r="D1313" s="53">
        <f t="shared" si="8"/>
        <v>272.93286750788644</v>
      </c>
      <c r="E1313"/>
    </row>
    <row r="1314" spans="1:5">
      <c r="A1314" s="135" t="s">
        <v>2381</v>
      </c>
      <c r="B1314" s="136" t="s">
        <v>2382</v>
      </c>
      <c r="C1314" s="139">
        <v>48811.763000000014</v>
      </c>
      <c r="D1314" s="53">
        <f t="shared" si="8"/>
        <v>153.98032492113569</v>
      </c>
      <c r="E1314"/>
    </row>
    <row r="1315" spans="1:5">
      <c r="A1315" s="135" t="s">
        <v>2383</v>
      </c>
      <c r="B1315" s="136" t="s">
        <v>2384</v>
      </c>
      <c r="C1315" s="139">
        <v>20890.698400000005</v>
      </c>
      <c r="D1315" s="53">
        <f t="shared" si="8"/>
        <v>65.9012567823344</v>
      </c>
      <c r="E1315"/>
    </row>
    <row r="1316" spans="1:5">
      <c r="A1316" s="135" t="s">
        <v>2385</v>
      </c>
      <c r="B1316" s="136" t="s">
        <v>2386</v>
      </c>
      <c r="C1316" s="139">
        <v>36849.098000000005</v>
      </c>
      <c r="D1316" s="53">
        <f t="shared" si="8"/>
        <v>116.2432113564669</v>
      </c>
      <c r="E1316"/>
    </row>
    <row r="1317" spans="1:5">
      <c r="A1317" s="135" t="s">
        <v>2387</v>
      </c>
      <c r="B1317" s="136" t="s">
        <v>2388</v>
      </c>
      <c r="C1317" s="139">
        <v>47331.255400000009</v>
      </c>
      <c r="D1317" s="53">
        <f t="shared" si="8"/>
        <v>149.30995394321769</v>
      </c>
      <c r="E1317"/>
    </row>
    <row r="1318" spans="1:5">
      <c r="A1318" s="135" t="s">
        <v>2389</v>
      </c>
      <c r="B1318" s="136" t="s">
        <v>2390</v>
      </c>
      <c r="C1318" s="139">
        <v>59367.536800000009</v>
      </c>
      <c r="D1318" s="53">
        <f t="shared" si="8"/>
        <v>187.27929589905366</v>
      </c>
      <c r="E1318"/>
    </row>
    <row r="1319" spans="1:5">
      <c r="A1319" s="135" t="s">
        <v>2391</v>
      </c>
      <c r="B1319" s="136" t="s">
        <v>2392</v>
      </c>
      <c r="C1319" s="139">
        <v>42726.140600000006</v>
      </c>
      <c r="D1319" s="53">
        <f t="shared" si="8"/>
        <v>134.78277791798109</v>
      </c>
      <c r="E1319"/>
    </row>
    <row r="1320" spans="1:5">
      <c r="A1320" s="135" t="s">
        <v>2393</v>
      </c>
      <c r="B1320" s="136" t="s">
        <v>2394</v>
      </c>
      <c r="C1320" s="139">
        <v>106915.55160000004</v>
      </c>
      <c r="D1320" s="53">
        <f t="shared" si="8"/>
        <v>337.27303343848592</v>
      </c>
      <c r="E1320"/>
    </row>
    <row r="1321" spans="1:5">
      <c r="A1321" s="135" t="s">
        <v>2395</v>
      </c>
      <c r="B1321" s="136" t="s">
        <v>2396</v>
      </c>
      <c r="C1321" s="139">
        <v>91325.234000000011</v>
      </c>
      <c r="D1321" s="53">
        <f t="shared" si="8"/>
        <v>288.09222082018931</v>
      </c>
      <c r="E1321"/>
    </row>
    <row r="1322" spans="1:5">
      <c r="A1322" s="135" t="s">
        <v>2397</v>
      </c>
      <c r="B1322" s="136" t="s">
        <v>2398</v>
      </c>
      <c r="C1322" s="139">
        <v>175129.32580000005</v>
      </c>
      <c r="D1322" s="53">
        <f t="shared" si="8"/>
        <v>552.45844100946385</v>
      </c>
      <c r="E1322"/>
    </row>
    <row r="1323" spans="1:5">
      <c r="A1323" s="135" t="s">
        <v>2399</v>
      </c>
      <c r="B1323" s="136" t="s">
        <v>2400</v>
      </c>
      <c r="C1323" s="139">
        <v>231556.29640000005</v>
      </c>
      <c r="D1323" s="53">
        <f t="shared" si="8"/>
        <v>730.46150283911686</v>
      </c>
      <c r="E1323"/>
    </row>
    <row r="1324" spans="1:5">
      <c r="A1324" s="135" t="s">
        <v>2401</v>
      </c>
      <c r="B1324" s="136" t="s">
        <v>2402</v>
      </c>
      <c r="C1324" s="139">
        <v>223740.68860000005</v>
      </c>
      <c r="D1324" s="53">
        <f t="shared" si="8"/>
        <v>705.80658864353325</v>
      </c>
      <c r="E1324"/>
    </row>
    <row r="1325" spans="1:5">
      <c r="A1325" s="135" t="s">
        <v>2403</v>
      </c>
      <c r="B1325" s="136" t="s">
        <v>2404</v>
      </c>
      <c r="C1325" s="139">
        <v>182405.08000000005</v>
      </c>
      <c r="D1325" s="53">
        <f t="shared" si="8"/>
        <v>575.4103470031547</v>
      </c>
      <c r="E1325"/>
    </row>
    <row r="1326" spans="1:5">
      <c r="A1326" s="135" t="s">
        <v>2405</v>
      </c>
      <c r="B1326" s="136" t="s">
        <v>2406</v>
      </c>
      <c r="C1326" s="139">
        <v>268172.27580000006</v>
      </c>
      <c r="D1326" s="53">
        <f t="shared" si="8"/>
        <v>845.96932429022104</v>
      </c>
      <c r="E1326"/>
    </row>
    <row r="1327" spans="1:5">
      <c r="A1327" s="135" t="s">
        <v>2407</v>
      </c>
      <c r="B1327" s="136" t="s">
        <v>2408</v>
      </c>
      <c r="C1327" s="139">
        <v>383942.24440000008</v>
      </c>
      <c r="D1327" s="53">
        <f t="shared" si="8"/>
        <v>1211.1742725552053</v>
      </c>
      <c r="E1327"/>
    </row>
    <row r="1328" spans="1:5">
      <c r="A1328" s="135" t="s">
        <v>2409</v>
      </c>
      <c r="B1328" s="136" t="s">
        <v>2410</v>
      </c>
      <c r="C1328" s="139">
        <v>441121.73820000002</v>
      </c>
      <c r="D1328" s="53">
        <f t="shared" si="8"/>
        <v>1391.5512246056783</v>
      </c>
      <c r="E1328"/>
    </row>
    <row r="1329" spans="1:5">
      <c r="A1329" s="135" t="s">
        <v>2411</v>
      </c>
      <c r="B1329" s="136" t="s">
        <v>2412</v>
      </c>
      <c r="C1329" s="139">
        <v>679201.26560000004</v>
      </c>
      <c r="D1329" s="53">
        <f t="shared" si="8"/>
        <v>2142.5907432176659</v>
      </c>
      <c r="E1329"/>
    </row>
    <row r="1330" spans="1:5">
      <c r="A1330" s="135" t="s">
        <v>2413</v>
      </c>
      <c r="B1330" s="136" t="s">
        <v>2414</v>
      </c>
      <c r="C1330" s="139">
        <v>720446.89860000019</v>
      </c>
      <c r="D1330" s="53">
        <f t="shared" si="8"/>
        <v>2272.7031501577294</v>
      </c>
      <c r="E1330"/>
    </row>
    <row r="1331" spans="1:5">
      <c r="A1331" s="135" t="s">
        <v>2415</v>
      </c>
      <c r="B1331" s="136" t="s">
        <v>2416</v>
      </c>
      <c r="C1331" s="139">
        <v>155093.39560000002</v>
      </c>
      <c r="D1331" s="53">
        <f t="shared" si="8"/>
        <v>489.25361388012624</v>
      </c>
      <c r="E1331"/>
    </row>
    <row r="1332" spans="1:5">
      <c r="A1332" s="135" t="s">
        <v>2417</v>
      </c>
      <c r="B1332" s="136" t="s">
        <v>2418</v>
      </c>
      <c r="C1332" s="139">
        <v>213622.52340000003</v>
      </c>
      <c r="D1332" s="53">
        <f t="shared" si="8"/>
        <v>673.88808643533139</v>
      </c>
      <c r="E1332"/>
    </row>
    <row r="1333" spans="1:5">
      <c r="A1333" s="135" t="s">
        <v>2419</v>
      </c>
      <c r="B1333" s="136" t="s">
        <v>2420</v>
      </c>
      <c r="C1333" s="139">
        <v>294796.8738</v>
      </c>
      <c r="D1333" s="53">
        <f t="shared" si="8"/>
        <v>929.95859242902213</v>
      </c>
      <c r="E1333"/>
    </row>
    <row r="1334" spans="1:5">
      <c r="A1334" s="135" t="s">
        <v>2421</v>
      </c>
      <c r="B1334" s="136" t="s">
        <v>2422</v>
      </c>
      <c r="C1334" s="139">
        <v>508521.64220000012</v>
      </c>
      <c r="D1334" s="53">
        <f t="shared" si="8"/>
        <v>1604.1692182965303</v>
      </c>
      <c r="E1334"/>
    </row>
    <row r="1335" spans="1:5">
      <c r="A1335" s="135" t="s">
        <v>2423</v>
      </c>
      <c r="B1335" s="136" t="s">
        <v>2424</v>
      </c>
      <c r="C1335" s="139">
        <v>706259.3824</v>
      </c>
      <c r="D1335" s="53">
        <f t="shared" si="8"/>
        <v>2227.9475785488958</v>
      </c>
      <c r="E1335"/>
    </row>
    <row r="1336" spans="1:5">
      <c r="A1336" s="135" t="s">
        <v>2425</v>
      </c>
      <c r="B1336" s="136" t="s">
        <v>2426</v>
      </c>
      <c r="C1336" s="139">
        <v>597073.99180000008</v>
      </c>
      <c r="D1336" s="53">
        <f t="shared" si="8"/>
        <v>1883.5141697160886</v>
      </c>
      <c r="E1336"/>
    </row>
    <row r="1337" spans="1:5">
      <c r="A1337" s="135" t="s">
        <v>2427</v>
      </c>
      <c r="B1337" s="136" t="s">
        <v>2428</v>
      </c>
      <c r="C1337" s="139">
        <v>790407.01740000013</v>
      </c>
      <c r="D1337" s="53">
        <f t="shared" si="8"/>
        <v>2493.3975312302841</v>
      </c>
      <c r="E1337"/>
    </row>
    <row r="1338" spans="1:5">
      <c r="A1338" s="135" t="s">
        <v>2429</v>
      </c>
      <c r="B1338" s="136" t="s">
        <v>2430</v>
      </c>
      <c r="C1338" s="139">
        <v>792145.18240000005</v>
      </c>
      <c r="D1338" s="53">
        <f t="shared" si="8"/>
        <v>2498.8807015772873</v>
      </c>
      <c r="E1338"/>
    </row>
    <row r="1339" spans="1:5">
      <c r="A1339" s="135" t="s">
        <v>2431</v>
      </c>
      <c r="B1339" s="136" t="s">
        <v>2432</v>
      </c>
      <c r="C1339" s="139">
        <v>944886.9430000002</v>
      </c>
      <c r="D1339" s="53">
        <f t="shared" si="8"/>
        <v>2980.7159085173507</v>
      </c>
      <c r="E1339"/>
    </row>
    <row r="1340" spans="1:5">
      <c r="A1340" s="135" t="s">
        <v>2433</v>
      </c>
      <c r="B1340" s="136" t="s">
        <v>2434</v>
      </c>
      <c r="C1340" s="139">
        <v>909534.71180000005</v>
      </c>
      <c r="D1340" s="53">
        <f t="shared" si="8"/>
        <v>2869.1946744479496</v>
      </c>
      <c r="E1340"/>
    </row>
    <row r="1341" spans="1:5">
      <c r="A1341" s="135" t="s">
        <v>2435</v>
      </c>
      <c r="B1341" s="136" t="s">
        <v>2436</v>
      </c>
      <c r="C1341" s="139">
        <v>1040216.0912000001</v>
      </c>
      <c r="D1341" s="53">
        <f t="shared" si="8"/>
        <v>3281.4387735015775</v>
      </c>
      <c r="E1341"/>
    </row>
    <row r="1342" spans="1:5">
      <c r="A1342" s="135" t="s">
        <v>2437</v>
      </c>
      <c r="B1342" s="136" t="s">
        <v>2438</v>
      </c>
      <c r="C1342" s="139">
        <v>2523422.9592000004</v>
      </c>
      <c r="D1342" s="53">
        <f t="shared" si="8"/>
        <v>7960.3247924290235</v>
      </c>
      <c r="E1342"/>
    </row>
    <row r="1343" spans="1:5">
      <c r="A1343" s="135" t="s">
        <v>2439</v>
      </c>
      <c r="B1343" s="136" t="s">
        <v>2440</v>
      </c>
      <c r="C1343" s="139">
        <v>688562.81780000019</v>
      </c>
      <c r="D1343" s="53">
        <f t="shared" si="8"/>
        <v>2172.1224536277609</v>
      </c>
    </row>
    <row r="1344" spans="1:5">
      <c r="A1344" s="135" t="s">
        <v>2441</v>
      </c>
      <c r="B1344" s="136" t="s">
        <v>2442</v>
      </c>
      <c r="C1344" s="139">
        <v>635530.38120000006</v>
      </c>
      <c r="D1344" s="53">
        <f t="shared" si="8"/>
        <v>2004.8277009463725</v>
      </c>
    </row>
    <row r="1345" spans="1:5">
      <c r="A1345" s="135" t="s">
        <v>2443</v>
      </c>
      <c r="B1345" s="136" t="s">
        <v>2444</v>
      </c>
      <c r="C1345" s="139">
        <v>1123030.4514000001</v>
      </c>
      <c r="D1345" s="53">
        <f t="shared" si="8"/>
        <v>3542.6828119873821</v>
      </c>
    </row>
    <row r="1346" spans="1:5">
      <c r="A1346" s="135" t="s">
        <v>2445</v>
      </c>
      <c r="B1346" s="136" t="s">
        <v>2446</v>
      </c>
      <c r="C1346" s="139">
        <v>1007129.6092000002</v>
      </c>
      <c r="D1346" s="53">
        <f t="shared" si="8"/>
        <v>3177.0650132492119</v>
      </c>
      <c r="E1346"/>
    </row>
    <row r="1347" spans="1:5">
      <c r="A1347" s="135" t="s">
        <v>2447</v>
      </c>
      <c r="B1347" s="136" t="s">
        <v>2448</v>
      </c>
      <c r="C1347" s="139">
        <v>1427716.4616000003</v>
      </c>
      <c r="D1347" s="53">
        <f t="shared" si="8"/>
        <v>4503.8374182965308</v>
      </c>
      <c r="E1347"/>
    </row>
    <row r="1348" spans="1:5">
      <c r="A1348" s="135" t="s">
        <v>2449</v>
      </c>
      <c r="B1348" s="136" t="s">
        <v>2450</v>
      </c>
      <c r="C1348" s="139">
        <v>1690768.3078000001</v>
      </c>
      <c r="D1348" s="53">
        <f t="shared" si="8"/>
        <v>5333.6539678233439</v>
      </c>
      <c r="E1348"/>
    </row>
    <row r="1349" spans="1:5">
      <c r="A1349" s="135" t="s">
        <v>2451</v>
      </c>
      <c r="B1349" s="136" t="s">
        <v>2452</v>
      </c>
      <c r="C1349" s="139">
        <v>1558025.6692000001</v>
      </c>
      <c r="D1349" s="53">
        <f t="shared" si="8"/>
        <v>4914.9074738170348</v>
      </c>
      <c r="E1349"/>
    </row>
    <row r="1350" spans="1:5" ht="27">
      <c r="A1350" s="135" t="s">
        <v>2453</v>
      </c>
      <c r="B1350" s="137" t="s">
        <v>2454</v>
      </c>
      <c r="C1350" s="139">
        <v>403749.14580000006</v>
      </c>
      <c r="D1350" s="53">
        <f t="shared" si="8"/>
        <v>1273.656611356467</v>
      </c>
      <c r="E1350"/>
    </row>
    <row r="1351" spans="1:5">
      <c r="A1351" s="135" t="s">
        <v>2455</v>
      </c>
      <c r="B1351" s="136" t="s">
        <v>2456</v>
      </c>
      <c r="C1351" s="139">
        <v>329895.53740000009</v>
      </c>
      <c r="D1351" s="53">
        <f t="shared" si="8"/>
        <v>1040.6799287066249</v>
      </c>
      <c r="E1351"/>
    </row>
    <row r="1352" spans="1:5" ht="27">
      <c r="A1352" s="135" t="s">
        <v>2457</v>
      </c>
      <c r="B1352" s="137" t="s">
        <v>2458</v>
      </c>
      <c r="C1352" s="139">
        <v>646679.17600000009</v>
      </c>
      <c r="D1352" s="53">
        <f t="shared" si="8"/>
        <v>2039.9974006309151</v>
      </c>
      <c r="E1352"/>
    </row>
    <row r="1353" spans="1:5">
      <c r="A1353" s="135" t="s">
        <v>2459</v>
      </c>
      <c r="B1353" s="136" t="s">
        <v>2460</v>
      </c>
      <c r="C1353" s="139">
        <v>555955.14260000014</v>
      </c>
      <c r="D1353" s="53">
        <f t="shared" si="8"/>
        <v>1753.8017116719247</v>
      </c>
      <c r="E1353"/>
    </row>
    <row r="1354" spans="1:5" ht="27">
      <c r="A1354" s="135" t="s">
        <v>2461</v>
      </c>
      <c r="B1354" s="137" t="s">
        <v>2462</v>
      </c>
      <c r="C1354" s="139">
        <v>943680.45200000016</v>
      </c>
      <c r="D1354" s="53">
        <f t="shared" si="8"/>
        <v>2976.9099432176663</v>
      </c>
      <c r="E1354"/>
    </row>
    <row r="1355" spans="1:5">
      <c r="A1355" s="135" t="s">
        <v>2463</v>
      </c>
      <c r="B1355" s="136" t="s">
        <v>2464</v>
      </c>
      <c r="C1355" s="139">
        <v>884689.17680000013</v>
      </c>
      <c r="D1355" s="53">
        <f t="shared" si="8"/>
        <v>2790.8175924290226</v>
      </c>
      <c r="E1355"/>
    </row>
    <row r="1356" spans="1:5">
      <c r="A1356" s="17"/>
      <c r="B1356" s="17"/>
      <c r="C1356" s="51"/>
      <c r="D1356" s="51"/>
      <c r="E1356"/>
    </row>
    <row r="1357" spans="1:5">
      <c r="A1357" s="17"/>
      <c r="B1357" s="140" t="s">
        <v>2529</v>
      </c>
      <c r="C1357" s="141"/>
      <c r="D1357" s="141"/>
      <c r="E1357"/>
    </row>
    <row r="1358" spans="1:5">
      <c r="A1358" s="17"/>
      <c r="B1358" s="142" t="s">
        <v>2466</v>
      </c>
      <c r="C1358" s="143"/>
      <c r="D1358" s="143"/>
      <c r="E1358"/>
    </row>
    <row r="1359" spans="1:5" ht="39.6">
      <c r="A1359" s="17"/>
      <c r="B1359" s="144" t="s">
        <v>2467</v>
      </c>
      <c r="C1359" s="147">
        <f>D1359*320</f>
        <v>13632</v>
      </c>
      <c r="D1359" s="145">
        <v>42.6</v>
      </c>
      <c r="E1359"/>
    </row>
    <row r="1360" spans="1:5" ht="39.6">
      <c r="A1360" s="17"/>
      <c r="B1360" s="144" t="s">
        <v>2468</v>
      </c>
      <c r="C1360" s="147">
        <f t="shared" ref="C1360:C1420" si="9">D1360*320</f>
        <v>17376</v>
      </c>
      <c r="D1360" s="145">
        <v>54.3</v>
      </c>
      <c r="E1360"/>
    </row>
    <row r="1361" spans="1:5" ht="26.4">
      <c r="A1361" s="17"/>
      <c r="B1361" s="144" t="s">
        <v>2469</v>
      </c>
      <c r="C1361" s="147">
        <f t="shared" si="9"/>
        <v>14272</v>
      </c>
      <c r="D1361" s="145">
        <v>44.6</v>
      </c>
      <c r="E1361"/>
    </row>
    <row r="1362" spans="1:5" ht="26.4">
      <c r="A1362" s="17"/>
      <c r="B1362" s="144" t="s">
        <v>2470</v>
      </c>
      <c r="C1362" s="147">
        <f t="shared" si="9"/>
        <v>16544</v>
      </c>
      <c r="D1362" s="145">
        <v>51.7</v>
      </c>
      <c r="E1362"/>
    </row>
    <row r="1363" spans="1:5" ht="26.4">
      <c r="A1363" s="17"/>
      <c r="B1363" s="144" t="s">
        <v>2471</v>
      </c>
      <c r="C1363" s="147">
        <f t="shared" si="9"/>
        <v>17760</v>
      </c>
      <c r="D1363" s="145">
        <v>55.5</v>
      </c>
      <c r="E1363"/>
    </row>
    <row r="1364" spans="1:5" ht="26.4">
      <c r="A1364" s="17"/>
      <c r="B1364" s="144" t="s">
        <v>2472</v>
      </c>
      <c r="C1364" s="147">
        <f t="shared" si="9"/>
        <v>22016</v>
      </c>
      <c r="D1364" s="145">
        <v>68.8</v>
      </c>
      <c r="E1364"/>
    </row>
    <row r="1365" spans="1:5" ht="26.4">
      <c r="A1365" s="17"/>
      <c r="B1365" s="144" t="s">
        <v>2473</v>
      </c>
      <c r="C1365" s="147">
        <f t="shared" si="9"/>
        <v>28096</v>
      </c>
      <c r="D1365" s="145">
        <v>87.8</v>
      </c>
      <c r="E1365"/>
    </row>
    <row r="1366" spans="1:5" ht="26.4">
      <c r="A1366" s="17"/>
      <c r="B1366" s="144" t="s">
        <v>2474</v>
      </c>
      <c r="C1366" s="147">
        <f t="shared" si="9"/>
        <v>30176</v>
      </c>
      <c r="D1366" s="145">
        <v>94.3</v>
      </c>
      <c r="E1366"/>
    </row>
    <row r="1367" spans="1:5" ht="26.4">
      <c r="A1367" s="17"/>
      <c r="B1367" s="144" t="s">
        <v>2475</v>
      </c>
      <c r="C1367" s="147">
        <f t="shared" si="9"/>
        <v>38688</v>
      </c>
      <c r="D1367" s="145">
        <v>120.9</v>
      </c>
      <c r="E1367"/>
    </row>
    <row r="1368" spans="1:5" ht="39.6">
      <c r="A1368" s="17"/>
      <c r="B1368" s="144" t="s">
        <v>2476</v>
      </c>
      <c r="C1368" s="147">
        <f t="shared" si="9"/>
        <v>20864</v>
      </c>
      <c r="D1368" s="145">
        <v>65.2</v>
      </c>
      <c r="E1368"/>
    </row>
    <row r="1369" spans="1:5" ht="39.6">
      <c r="A1369" s="17"/>
      <c r="B1369" s="144" t="s">
        <v>2477</v>
      </c>
      <c r="C1369" s="147">
        <f t="shared" si="9"/>
        <v>24256</v>
      </c>
      <c r="D1369" s="145">
        <v>75.8</v>
      </c>
      <c r="E1369"/>
    </row>
    <row r="1370" spans="1:5" ht="26.4">
      <c r="A1370" s="17"/>
      <c r="B1370" s="144" t="s">
        <v>2478</v>
      </c>
      <c r="C1370" s="147">
        <f t="shared" si="9"/>
        <v>34016</v>
      </c>
      <c r="D1370" s="145">
        <v>106.3</v>
      </c>
      <c r="E1370"/>
    </row>
    <row r="1371" spans="1:5" ht="26.4">
      <c r="A1371" s="17"/>
      <c r="B1371" s="144" t="s">
        <v>2479</v>
      </c>
      <c r="C1371" s="147">
        <f t="shared" si="9"/>
        <v>42528</v>
      </c>
      <c r="D1371" s="145">
        <v>132.9</v>
      </c>
      <c r="E1371"/>
    </row>
    <row r="1372" spans="1:5" ht="26.4">
      <c r="A1372" s="17"/>
      <c r="B1372" s="144" t="s">
        <v>2480</v>
      </c>
      <c r="C1372" s="147">
        <f t="shared" si="9"/>
        <v>53632</v>
      </c>
      <c r="D1372" s="145">
        <v>167.6</v>
      </c>
      <c r="E1372"/>
    </row>
    <row r="1373" spans="1:5" ht="26.4">
      <c r="A1373" s="17"/>
      <c r="B1373" s="144" t="s">
        <v>2481</v>
      </c>
      <c r="C1373" s="147">
        <f t="shared" si="9"/>
        <v>66816</v>
      </c>
      <c r="D1373" s="145">
        <v>208.8</v>
      </c>
      <c r="E1373"/>
    </row>
    <row r="1374" spans="1:5" ht="39.6">
      <c r="A1374" s="17"/>
      <c r="B1374" s="144" t="s">
        <v>2482</v>
      </c>
      <c r="C1374" s="147">
        <f t="shared" si="9"/>
        <v>29376</v>
      </c>
      <c r="D1374" s="145">
        <v>91.8</v>
      </c>
      <c r="E1374"/>
    </row>
    <row r="1375" spans="1:5" ht="26.4">
      <c r="A1375" s="17"/>
      <c r="B1375" s="144" t="s">
        <v>2483</v>
      </c>
      <c r="C1375" s="147">
        <f t="shared" si="9"/>
        <v>37888</v>
      </c>
      <c r="D1375" s="145">
        <v>118.4</v>
      </c>
      <c r="E1375"/>
    </row>
    <row r="1376" spans="1:5" ht="39.6">
      <c r="A1376" s="17"/>
      <c r="B1376" s="144" t="s">
        <v>2484</v>
      </c>
      <c r="C1376" s="147">
        <f t="shared" si="9"/>
        <v>33632</v>
      </c>
      <c r="D1376" s="145">
        <v>105.1</v>
      </c>
      <c r="E1376"/>
    </row>
    <row r="1377" spans="1:5" ht="39.6">
      <c r="A1377" s="17"/>
      <c r="B1377" s="144" t="s">
        <v>2485</v>
      </c>
      <c r="C1377" s="147">
        <f t="shared" si="9"/>
        <v>56192</v>
      </c>
      <c r="D1377" s="145">
        <v>175.6</v>
      </c>
      <c r="E1377"/>
    </row>
    <row r="1378" spans="1:5" ht="39.6">
      <c r="A1378" s="17"/>
      <c r="B1378" s="144" t="s">
        <v>2486</v>
      </c>
      <c r="C1378" s="147">
        <f t="shared" si="9"/>
        <v>54912</v>
      </c>
      <c r="D1378" s="145">
        <v>171.6</v>
      </c>
      <c r="E1378"/>
    </row>
    <row r="1379" spans="1:5">
      <c r="A1379" s="17"/>
      <c r="B1379" s="142" t="s">
        <v>2487</v>
      </c>
      <c r="C1379" s="146"/>
      <c r="D1379" s="146"/>
      <c r="E1379"/>
    </row>
    <row r="1380" spans="1:5" ht="39.6">
      <c r="A1380" s="17"/>
      <c r="B1380" s="144" t="s">
        <v>2488</v>
      </c>
      <c r="C1380" s="147">
        <f t="shared" si="9"/>
        <v>8288</v>
      </c>
      <c r="D1380" s="145">
        <v>25.9</v>
      </c>
      <c r="E1380"/>
    </row>
    <row r="1381" spans="1:5" ht="39.6">
      <c r="A1381" s="17"/>
      <c r="B1381" s="144" t="s">
        <v>2489</v>
      </c>
      <c r="C1381" s="147">
        <f t="shared" si="9"/>
        <v>9120</v>
      </c>
      <c r="D1381" s="145">
        <v>28.5</v>
      </c>
      <c r="E1381"/>
    </row>
    <row r="1382" spans="1:5">
      <c r="A1382" s="17"/>
      <c r="B1382" s="142" t="s">
        <v>2490</v>
      </c>
      <c r="C1382" s="146"/>
      <c r="D1382" s="146"/>
      <c r="E1382"/>
    </row>
    <row r="1383" spans="1:5" ht="39.6">
      <c r="A1383" s="17"/>
      <c r="B1383" s="144" t="s">
        <v>2491</v>
      </c>
      <c r="C1383" s="147">
        <f t="shared" si="9"/>
        <v>101088</v>
      </c>
      <c r="D1383" s="145">
        <v>315.89999999999998</v>
      </c>
      <c r="E1383"/>
    </row>
    <row r="1384" spans="1:5" ht="39.6">
      <c r="A1384" s="17"/>
      <c r="B1384" s="144" t="s">
        <v>2492</v>
      </c>
      <c r="C1384" s="147">
        <f t="shared" si="9"/>
        <v>112320</v>
      </c>
      <c r="D1384" s="145">
        <v>351</v>
      </c>
      <c r="E1384"/>
    </row>
    <row r="1385" spans="1:5" ht="39.6">
      <c r="A1385" s="17"/>
      <c r="B1385" s="144" t="s">
        <v>2493</v>
      </c>
      <c r="C1385" s="147">
        <f t="shared" si="9"/>
        <v>76960</v>
      </c>
      <c r="D1385" s="145">
        <v>240.5</v>
      </c>
      <c r="E1385"/>
    </row>
    <row r="1386" spans="1:5" ht="39.6">
      <c r="A1386" s="17"/>
      <c r="B1386" s="144" t="s">
        <v>2494</v>
      </c>
      <c r="C1386" s="147">
        <f t="shared" si="9"/>
        <v>135200</v>
      </c>
      <c r="D1386" s="145">
        <v>422.5</v>
      </c>
      <c r="E1386"/>
    </row>
    <row r="1387" spans="1:5" ht="39.6">
      <c r="A1387" s="17"/>
      <c r="B1387" s="144" t="s">
        <v>2495</v>
      </c>
      <c r="C1387" s="147">
        <f t="shared" si="9"/>
        <v>145600</v>
      </c>
      <c r="D1387" s="145">
        <v>455</v>
      </c>
      <c r="E1387"/>
    </row>
    <row r="1388" spans="1:5" ht="39.6">
      <c r="A1388" s="17"/>
      <c r="B1388" s="144" t="s">
        <v>2496</v>
      </c>
      <c r="C1388" s="147">
        <f t="shared" si="9"/>
        <v>353600</v>
      </c>
      <c r="D1388" s="145">
        <v>1105</v>
      </c>
      <c r="E1388"/>
    </row>
    <row r="1389" spans="1:5" ht="52.8">
      <c r="A1389" s="17"/>
      <c r="B1389" s="144" t="s">
        <v>2497</v>
      </c>
      <c r="C1389" s="147">
        <f t="shared" si="9"/>
        <v>428480</v>
      </c>
      <c r="D1389" s="145">
        <v>1339</v>
      </c>
      <c r="E1389"/>
    </row>
    <row r="1390" spans="1:5" ht="52.8">
      <c r="A1390" s="17"/>
      <c r="B1390" s="144" t="s">
        <v>2498</v>
      </c>
      <c r="C1390" s="147">
        <f t="shared" si="9"/>
        <v>439552</v>
      </c>
      <c r="D1390" s="145">
        <v>1373.6</v>
      </c>
      <c r="E1390"/>
    </row>
    <row r="1391" spans="1:5" ht="52.8">
      <c r="A1391" s="17"/>
      <c r="B1391" s="144" t="s">
        <v>2499</v>
      </c>
      <c r="C1391" s="147">
        <f t="shared" si="9"/>
        <v>510496</v>
      </c>
      <c r="D1391" s="145">
        <v>1595.3</v>
      </c>
      <c r="E1391"/>
    </row>
    <row r="1392" spans="1:5" ht="52.8">
      <c r="A1392" s="17"/>
      <c r="B1392" s="144" t="s">
        <v>2500</v>
      </c>
      <c r="C1392" s="147">
        <f t="shared" si="9"/>
        <v>537472</v>
      </c>
      <c r="D1392" s="145">
        <v>1679.6</v>
      </c>
      <c r="E1392"/>
    </row>
    <row r="1393" spans="1:5" ht="52.8">
      <c r="A1393" s="17"/>
      <c r="B1393" s="144" t="s">
        <v>2501</v>
      </c>
      <c r="C1393" s="147">
        <f t="shared" si="9"/>
        <v>799360</v>
      </c>
      <c r="D1393" s="145">
        <v>2498</v>
      </c>
      <c r="E1393"/>
    </row>
    <row r="1394" spans="1:5" ht="52.8">
      <c r="A1394" s="17"/>
      <c r="B1394" s="144" t="s">
        <v>2502</v>
      </c>
      <c r="C1394" s="147">
        <f t="shared" si="9"/>
        <v>880000</v>
      </c>
      <c r="D1394" s="145">
        <v>2750</v>
      </c>
      <c r="E1394"/>
    </row>
    <row r="1395" spans="1:5" ht="52.8">
      <c r="A1395" s="17"/>
      <c r="B1395" s="144" t="s">
        <v>2503</v>
      </c>
      <c r="C1395" s="147">
        <f t="shared" si="9"/>
        <v>1284800</v>
      </c>
      <c r="D1395" s="145">
        <v>4015</v>
      </c>
      <c r="E1395"/>
    </row>
    <row r="1396" spans="1:5" ht="52.8">
      <c r="A1396" s="17"/>
      <c r="B1396" s="144" t="s">
        <v>2504</v>
      </c>
      <c r="C1396" s="147">
        <f t="shared" si="9"/>
        <v>1792000</v>
      </c>
      <c r="D1396" s="145">
        <v>5600</v>
      </c>
      <c r="E1396"/>
    </row>
    <row r="1397" spans="1:5" ht="39.6">
      <c r="A1397" s="17"/>
      <c r="B1397" s="144" t="s">
        <v>2505</v>
      </c>
      <c r="C1397" s="147">
        <f t="shared" si="9"/>
        <v>1932736</v>
      </c>
      <c r="D1397" s="145">
        <v>6039.8</v>
      </c>
      <c r="E1397"/>
    </row>
    <row r="1398" spans="1:5" ht="39.6">
      <c r="A1398" s="17"/>
      <c r="B1398" s="144" t="s">
        <v>2506</v>
      </c>
      <c r="C1398" s="147">
        <f t="shared" si="9"/>
        <v>2119040</v>
      </c>
      <c r="D1398" s="145">
        <v>6622</v>
      </c>
      <c r="E1398"/>
    </row>
    <row r="1399" spans="1:5" ht="39.6">
      <c r="A1399" s="17"/>
      <c r="B1399" s="144" t="s">
        <v>2507</v>
      </c>
      <c r="C1399" s="147">
        <f t="shared" si="9"/>
        <v>2927808</v>
      </c>
      <c r="D1399" s="145">
        <v>9149.4</v>
      </c>
      <c r="E1399"/>
    </row>
    <row r="1400" spans="1:5" ht="39.6">
      <c r="A1400" s="17"/>
      <c r="B1400" s="144" t="s">
        <v>2508</v>
      </c>
      <c r="C1400" s="147">
        <f t="shared" si="9"/>
        <v>3540160</v>
      </c>
      <c r="D1400" s="145">
        <v>11063</v>
      </c>
      <c r="E1400"/>
    </row>
    <row r="1401" spans="1:5" ht="39.6">
      <c r="A1401" s="17"/>
      <c r="B1401" s="144" t="s">
        <v>2509</v>
      </c>
      <c r="C1401" s="147">
        <f t="shared" si="9"/>
        <v>5114304</v>
      </c>
      <c r="D1401" s="145">
        <v>15982.2</v>
      </c>
      <c r="E1401"/>
    </row>
    <row r="1402" spans="1:5">
      <c r="A1402" s="17"/>
      <c r="B1402" s="142" t="s">
        <v>2510</v>
      </c>
      <c r="C1402" s="146"/>
      <c r="D1402" s="146"/>
      <c r="E1402"/>
    </row>
    <row r="1403" spans="1:5" ht="39.6">
      <c r="A1403" s="17"/>
      <c r="B1403" s="144" t="s">
        <v>2511</v>
      </c>
      <c r="C1403" s="147">
        <f t="shared" si="9"/>
        <v>52000</v>
      </c>
      <c r="D1403" s="145">
        <v>162.5</v>
      </c>
      <c r="E1403"/>
    </row>
    <row r="1404" spans="1:5" ht="39.6">
      <c r="A1404" s="17"/>
      <c r="B1404" s="144" t="s">
        <v>2512</v>
      </c>
      <c r="C1404" s="147">
        <f t="shared" si="9"/>
        <v>73632</v>
      </c>
      <c r="D1404" s="145">
        <v>230.1</v>
      </c>
      <c r="E1404"/>
    </row>
    <row r="1405" spans="1:5" ht="39.6">
      <c r="A1405" s="17"/>
      <c r="B1405" s="144" t="s">
        <v>2513</v>
      </c>
      <c r="C1405" s="147">
        <f t="shared" si="9"/>
        <v>128960</v>
      </c>
      <c r="D1405" s="145">
        <v>403</v>
      </c>
      <c r="E1405"/>
    </row>
    <row r="1406" spans="1:5" ht="39.6">
      <c r="A1406" s="17"/>
      <c r="B1406" s="144" t="s">
        <v>2514</v>
      </c>
      <c r="C1406" s="147">
        <f t="shared" si="9"/>
        <v>135200</v>
      </c>
      <c r="D1406" s="145">
        <v>422.5</v>
      </c>
      <c r="E1406"/>
    </row>
    <row r="1407" spans="1:5" ht="39.6">
      <c r="A1407" s="17"/>
      <c r="B1407" s="144" t="s">
        <v>2515</v>
      </c>
      <c r="C1407" s="147">
        <f t="shared" si="9"/>
        <v>153920</v>
      </c>
      <c r="D1407" s="145">
        <v>481</v>
      </c>
      <c r="E1407"/>
    </row>
    <row r="1408" spans="1:5" ht="39.6">
      <c r="A1408" s="17"/>
      <c r="B1408" s="144" t="s">
        <v>2516</v>
      </c>
      <c r="C1408" s="147">
        <f t="shared" si="9"/>
        <v>104000</v>
      </c>
      <c r="D1408" s="145">
        <v>325</v>
      </c>
      <c r="E1408"/>
    </row>
    <row r="1409" spans="1:5" ht="39.6">
      <c r="A1409" s="17"/>
      <c r="B1409" s="144" t="s">
        <v>2517</v>
      </c>
      <c r="C1409" s="147">
        <f t="shared" si="9"/>
        <v>203840</v>
      </c>
      <c r="D1409" s="145">
        <v>637</v>
      </c>
    </row>
    <row r="1410" spans="1:5" ht="39.6">
      <c r="A1410" s="17"/>
      <c r="B1410" s="144" t="s">
        <v>2518</v>
      </c>
      <c r="C1410" s="147">
        <f t="shared" si="9"/>
        <v>211744</v>
      </c>
      <c r="D1410" s="145">
        <v>661.7</v>
      </c>
    </row>
    <row r="1411" spans="1:5" ht="39.6">
      <c r="A1411" s="17"/>
      <c r="B1411" s="144" t="s">
        <v>2519</v>
      </c>
      <c r="C1411" s="147">
        <f t="shared" si="9"/>
        <v>415584</v>
      </c>
      <c r="D1411" s="145">
        <v>1298.7</v>
      </c>
    </row>
    <row r="1412" spans="1:5" ht="39.6">
      <c r="A1412" s="17"/>
      <c r="B1412" s="144" t="s">
        <v>2520</v>
      </c>
      <c r="C1412" s="147">
        <f t="shared" si="9"/>
        <v>498784</v>
      </c>
      <c r="D1412" s="145">
        <v>1558.7</v>
      </c>
    </row>
    <row r="1413" spans="1:5">
      <c r="A1413" s="17"/>
      <c r="B1413" s="142" t="s">
        <v>2521</v>
      </c>
      <c r="C1413" s="146"/>
      <c r="D1413" s="146"/>
    </row>
    <row r="1414" spans="1:5" ht="52.8">
      <c r="A1414" s="17"/>
      <c r="B1414" s="144" t="s">
        <v>2522</v>
      </c>
      <c r="C1414" s="147">
        <f t="shared" si="9"/>
        <v>1478400</v>
      </c>
      <c r="D1414" s="145">
        <v>4620</v>
      </c>
    </row>
    <row r="1415" spans="1:5" ht="52.8">
      <c r="A1415" s="17"/>
      <c r="B1415" s="144" t="s">
        <v>2523</v>
      </c>
      <c r="C1415" s="147">
        <f t="shared" si="9"/>
        <v>2649600</v>
      </c>
      <c r="D1415" s="145">
        <v>8280</v>
      </c>
      <c r="E1415"/>
    </row>
    <row r="1416" spans="1:5" ht="52.8">
      <c r="A1416" s="17"/>
      <c r="B1416" s="144" t="s">
        <v>2524</v>
      </c>
      <c r="C1416" s="147">
        <f t="shared" si="9"/>
        <v>4070400</v>
      </c>
      <c r="D1416" s="145">
        <v>12720</v>
      </c>
      <c r="E1416"/>
    </row>
    <row r="1417" spans="1:5" ht="52.8">
      <c r="A1417" s="17"/>
      <c r="B1417" s="144" t="s">
        <v>2525</v>
      </c>
      <c r="C1417" s="147">
        <f t="shared" si="9"/>
        <v>4531200</v>
      </c>
      <c r="D1417" s="145">
        <v>14160</v>
      </c>
      <c r="E1417"/>
    </row>
    <row r="1418" spans="1:5">
      <c r="A1418" s="17"/>
      <c r="B1418" s="142" t="s">
        <v>2526</v>
      </c>
      <c r="C1418" s="146"/>
      <c r="D1418" s="146"/>
      <c r="E1418"/>
    </row>
    <row r="1419" spans="1:5" ht="26.4">
      <c r="A1419" s="17"/>
      <c r="B1419" s="144" t="s">
        <v>2527</v>
      </c>
      <c r="C1419" s="147">
        <f t="shared" si="9"/>
        <v>74880</v>
      </c>
      <c r="D1419" s="145">
        <v>234</v>
      </c>
      <c r="E1419"/>
    </row>
    <row r="1420" spans="1:5" ht="27" thickBot="1">
      <c r="A1420" s="17"/>
      <c r="B1420" s="144" t="s">
        <v>2528</v>
      </c>
      <c r="C1420" s="147">
        <f t="shared" si="9"/>
        <v>183872</v>
      </c>
      <c r="D1420" s="145">
        <v>574.6</v>
      </c>
      <c r="E1420"/>
    </row>
    <row r="1421" spans="1:5" ht="15" thickTop="1">
      <c r="A1421" s="148"/>
      <c r="B1421" s="153" t="s">
        <v>2624</v>
      </c>
      <c r="C1421" s="149"/>
      <c r="D1421" s="149"/>
      <c r="E1421"/>
    </row>
    <row r="1422" spans="1:5" ht="40.200000000000003">
      <c r="A1422" s="135" t="s">
        <v>2535</v>
      </c>
      <c r="B1422" s="137" t="s">
        <v>2530</v>
      </c>
      <c r="C1422" s="139">
        <v>629998.19999999995</v>
      </c>
      <c r="D1422" s="53">
        <f>C1422/317</f>
        <v>1987.376025236593</v>
      </c>
      <c r="E1422"/>
    </row>
    <row r="1423" spans="1:5" ht="27">
      <c r="A1423" s="135" t="s">
        <v>2536</v>
      </c>
      <c r="B1423" s="137" t="s">
        <v>2531</v>
      </c>
      <c r="C1423" s="139">
        <v>565333.39199999999</v>
      </c>
      <c r="D1423" s="53">
        <f t="shared" ref="D1423:D1426" si="10">C1423/317</f>
        <v>1783.386094637224</v>
      </c>
      <c r="E1423"/>
    </row>
    <row r="1424" spans="1:5" ht="40.200000000000003">
      <c r="A1424" s="135" t="s">
        <v>2537</v>
      </c>
      <c r="B1424" s="137" t="s">
        <v>2532</v>
      </c>
      <c r="C1424" s="139">
        <v>380898.95999999996</v>
      </c>
      <c r="D1424" s="53">
        <f t="shared" si="10"/>
        <v>1201.5740063091482</v>
      </c>
      <c r="E1424"/>
    </row>
    <row r="1425" spans="1:5" ht="40.200000000000003">
      <c r="A1425" s="135" t="s">
        <v>2538</v>
      </c>
      <c r="B1425" s="137" t="s">
        <v>2533</v>
      </c>
      <c r="C1425" s="139">
        <v>561322.00800000003</v>
      </c>
      <c r="D1425" s="53">
        <f t="shared" si="10"/>
        <v>1770.7318864353313</v>
      </c>
      <c r="E1425"/>
    </row>
    <row r="1426" spans="1:5" ht="14.4" customHeight="1">
      <c r="A1426" s="135" t="s">
        <v>2539</v>
      </c>
      <c r="B1426" s="137" t="s">
        <v>2534</v>
      </c>
      <c r="C1426" s="139">
        <v>571920.33600000001</v>
      </c>
      <c r="D1426" s="53">
        <f t="shared" si="10"/>
        <v>1804.1650977917982</v>
      </c>
      <c r="E1426"/>
    </row>
    <row r="1427" spans="1:5">
      <c r="A1427" s="17"/>
      <c r="B1427" s="17"/>
      <c r="C1427" s="51"/>
      <c r="D1427" s="51"/>
      <c r="E1427"/>
    </row>
    <row r="1428" spans="1:5">
      <c r="A1428" s="171" t="s">
        <v>2540</v>
      </c>
      <c r="B1428" s="171"/>
      <c r="C1428" s="171"/>
      <c r="D1428" s="171"/>
      <c r="E1428"/>
    </row>
    <row r="1429" spans="1:5">
      <c r="A1429" s="172" t="s">
        <v>2541</v>
      </c>
      <c r="B1429" s="172"/>
      <c r="C1429" s="172"/>
      <c r="D1429" s="172"/>
      <c r="E1429"/>
    </row>
    <row r="1430" spans="1:5">
      <c r="A1430" s="173" t="s">
        <v>2542</v>
      </c>
      <c r="B1430" s="173"/>
      <c r="C1430" s="173"/>
      <c r="D1430" s="173"/>
      <c r="E1430"/>
    </row>
    <row r="1431" spans="1:5" ht="28.8">
      <c r="A1431" s="17" t="s">
        <v>2543</v>
      </c>
      <c r="B1431" s="17" t="s">
        <v>2544</v>
      </c>
      <c r="C1431" s="151" t="s">
        <v>2545</v>
      </c>
      <c r="D1431" s="53" t="e">
        <f>C1431/317</f>
        <v>#VALUE!</v>
      </c>
      <c r="E1431"/>
    </row>
    <row r="1432" spans="1:5">
      <c r="A1432" s="152" t="s">
        <v>2546</v>
      </c>
      <c r="B1432" s="152"/>
      <c r="C1432" s="151"/>
      <c r="D1432" s="53">
        <f t="shared" ref="D1432:D1460" si="11">C1432/317</f>
        <v>0</v>
      </c>
      <c r="E1432"/>
    </row>
    <row r="1433" spans="1:5">
      <c r="A1433" s="17" t="s">
        <v>2547</v>
      </c>
      <c r="B1433" s="17" t="s">
        <v>2548</v>
      </c>
      <c r="C1433" s="151" t="s">
        <v>2549</v>
      </c>
      <c r="D1433" s="53" t="e">
        <f t="shared" si="11"/>
        <v>#VALUE!</v>
      </c>
      <c r="E1433"/>
    </row>
    <row r="1434" spans="1:5">
      <c r="A1434" s="17" t="s">
        <v>2550</v>
      </c>
      <c r="B1434" s="17" t="s">
        <v>2551</v>
      </c>
      <c r="C1434" s="151" t="s">
        <v>2552</v>
      </c>
      <c r="D1434" s="53" t="e">
        <f t="shared" si="11"/>
        <v>#VALUE!</v>
      </c>
      <c r="E1434"/>
    </row>
    <row r="1435" spans="1:5">
      <c r="A1435" s="17" t="s">
        <v>2553</v>
      </c>
      <c r="B1435" s="17" t="s">
        <v>2554</v>
      </c>
      <c r="C1435" s="151" t="s">
        <v>2555</v>
      </c>
      <c r="D1435" s="53" t="e">
        <f t="shared" si="11"/>
        <v>#VALUE!</v>
      </c>
      <c r="E1435"/>
    </row>
    <row r="1436" spans="1:5" ht="28.8">
      <c r="A1436" s="17" t="s">
        <v>2556</v>
      </c>
      <c r="B1436" s="17" t="s">
        <v>2557</v>
      </c>
      <c r="C1436" s="151" t="s">
        <v>2558</v>
      </c>
      <c r="D1436" s="53" t="e">
        <f t="shared" si="11"/>
        <v>#VALUE!</v>
      </c>
      <c r="E1436"/>
    </row>
    <row r="1437" spans="1:5" ht="28.8">
      <c r="A1437" s="17" t="s">
        <v>2559</v>
      </c>
      <c r="B1437" s="17" t="s">
        <v>2560</v>
      </c>
      <c r="C1437" s="151" t="s">
        <v>2561</v>
      </c>
      <c r="D1437" s="53" t="e">
        <f t="shared" si="11"/>
        <v>#VALUE!</v>
      </c>
      <c r="E1437"/>
    </row>
    <row r="1438" spans="1:5" ht="43.2">
      <c r="A1438" s="17" t="s">
        <v>2562</v>
      </c>
      <c r="B1438" s="17" t="s">
        <v>2563</v>
      </c>
      <c r="C1438" s="151" t="s">
        <v>2564</v>
      </c>
      <c r="D1438" s="53" t="e">
        <f t="shared" si="11"/>
        <v>#VALUE!</v>
      </c>
      <c r="E1438"/>
    </row>
    <row r="1439" spans="1:5" ht="22.8">
      <c r="A1439" s="152" t="s">
        <v>2565</v>
      </c>
      <c r="B1439" s="152"/>
      <c r="C1439" s="150"/>
      <c r="D1439" s="53">
        <f t="shared" si="11"/>
        <v>0</v>
      </c>
      <c r="E1439"/>
    </row>
    <row r="1440" spans="1:5">
      <c r="A1440" s="17" t="s">
        <v>2566</v>
      </c>
      <c r="B1440" s="17" t="s">
        <v>2567</v>
      </c>
      <c r="C1440" s="151" t="s">
        <v>2568</v>
      </c>
      <c r="D1440" s="53" t="e">
        <f t="shared" si="11"/>
        <v>#VALUE!</v>
      </c>
      <c r="E1440"/>
    </row>
    <row r="1441" spans="1:5">
      <c r="A1441" s="17" t="s">
        <v>2569</v>
      </c>
      <c r="B1441" s="17" t="s">
        <v>2570</v>
      </c>
      <c r="C1441" s="151" t="s">
        <v>2571</v>
      </c>
      <c r="D1441" s="53" t="e">
        <f t="shared" si="11"/>
        <v>#VALUE!</v>
      </c>
      <c r="E1441"/>
    </row>
    <row r="1442" spans="1:5" ht="28.8">
      <c r="A1442" s="17" t="s">
        <v>2572</v>
      </c>
      <c r="B1442" s="17" t="s">
        <v>2573</v>
      </c>
      <c r="C1442" s="151" t="s">
        <v>2574</v>
      </c>
      <c r="D1442" s="53" t="e">
        <f t="shared" si="11"/>
        <v>#VALUE!</v>
      </c>
      <c r="E1442"/>
    </row>
    <row r="1443" spans="1:5">
      <c r="A1443" s="17" t="s">
        <v>2575</v>
      </c>
      <c r="B1443" s="17" t="s">
        <v>2576</v>
      </c>
      <c r="C1443" s="151" t="s">
        <v>2577</v>
      </c>
      <c r="D1443" s="53" t="e">
        <f t="shared" si="11"/>
        <v>#VALUE!</v>
      </c>
      <c r="E1443"/>
    </row>
    <row r="1444" spans="1:5" ht="28.8">
      <c r="A1444" s="17" t="s">
        <v>2578</v>
      </c>
      <c r="B1444" s="17" t="s">
        <v>2579</v>
      </c>
      <c r="C1444" s="151" t="s">
        <v>2580</v>
      </c>
      <c r="D1444" s="53" t="e">
        <f t="shared" si="11"/>
        <v>#VALUE!</v>
      </c>
      <c r="E1444"/>
    </row>
    <row r="1445" spans="1:5" ht="28.8">
      <c r="A1445" s="17" t="s">
        <v>2581</v>
      </c>
      <c r="B1445" s="17" t="s">
        <v>2582</v>
      </c>
      <c r="C1445" s="151" t="s">
        <v>2583</v>
      </c>
      <c r="D1445" s="53" t="e">
        <f t="shared" si="11"/>
        <v>#VALUE!</v>
      </c>
      <c r="E1445"/>
    </row>
    <row r="1446" spans="1:5" ht="14.4" customHeight="1">
      <c r="A1446" s="17" t="s">
        <v>2584</v>
      </c>
      <c r="B1446" s="17" t="s">
        <v>2585</v>
      </c>
      <c r="C1446" s="151" t="s">
        <v>2586</v>
      </c>
      <c r="D1446" s="53" t="e">
        <f t="shared" si="11"/>
        <v>#VALUE!</v>
      </c>
      <c r="E1446"/>
    </row>
    <row r="1447" spans="1:5">
      <c r="A1447" s="17" t="s">
        <v>2587</v>
      </c>
      <c r="B1447" s="17" t="s">
        <v>2588</v>
      </c>
      <c r="C1447" s="151" t="s">
        <v>2589</v>
      </c>
      <c r="D1447" s="53" t="e">
        <f t="shared" si="11"/>
        <v>#VALUE!</v>
      </c>
      <c r="E1447"/>
    </row>
    <row r="1448" spans="1:5">
      <c r="A1448" s="152" t="s">
        <v>2590</v>
      </c>
      <c r="B1448" s="152"/>
      <c r="C1448" s="150"/>
      <c r="D1448" s="53">
        <f t="shared" si="11"/>
        <v>0</v>
      </c>
    </row>
    <row r="1449" spans="1:5">
      <c r="A1449" s="17" t="s">
        <v>2591</v>
      </c>
      <c r="B1449" s="17" t="s">
        <v>2592</v>
      </c>
      <c r="C1449" s="151" t="s">
        <v>2593</v>
      </c>
      <c r="D1449" s="53" t="e">
        <f t="shared" si="11"/>
        <v>#VALUE!</v>
      </c>
    </row>
    <row r="1450" spans="1:5">
      <c r="A1450" s="17" t="s">
        <v>2594</v>
      </c>
      <c r="B1450" s="17" t="s">
        <v>2595</v>
      </c>
      <c r="C1450" s="151" t="s">
        <v>2596</v>
      </c>
      <c r="D1450" s="53" t="e">
        <f t="shared" si="11"/>
        <v>#VALUE!</v>
      </c>
    </row>
    <row r="1451" spans="1:5">
      <c r="A1451" s="17" t="s">
        <v>2597</v>
      </c>
      <c r="B1451" s="17" t="s">
        <v>2598</v>
      </c>
      <c r="C1451" s="151" t="s">
        <v>2599</v>
      </c>
      <c r="D1451" s="53" t="e">
        <f t="shared" si="11"/>
        <v>#VALUE!</v>
      </c>
    </row>
    <row r="1452" spans="1:5" ht="28.8">
      <c r="A1452" s="17" t="s">
        <v>2600</v>
      </c>
      <c r="B1452" s="17" t="s">
        <v>2601</v>
      </c>
      <c r="C1452" s="151" t="s">
        <v>2602</v>
      </c>
      <c r="D1452" s="53" t="e">
        <f t="shared" si="11"/>
        <v>#VALUE!</v>
      </c>
    </row>
    <row r="1453" spans="1:5" ht="28.8">
      <c r="A1453" s="17" t="s">
        <v>2603</v>
      </c>
      <c r="B1453" s="17" t="s">
        <v>2604</v>
      </c>
      <c r="C1453" s="151" t="s">
        <v>2605</v>
      </c>
      <c r="D1453" s="53" t="e">
        <f t="shared" si="11"/>
        <v>#VALUE!</v>
      </c>
    </row>
    <row r="1454" spans="1:5" ht="28.8">
      <c r="A1454" s="17" t="s">
        <v>2606</v>
      </c>
      <c r="B1454" s="17" t="s">
        <v>2607</v>
      </c>
      <c r="C1454" s="151" t="s">
        <v>2608</v>
      </c>
      <c r="D1454" s="53" t="e">
        <f t="shared" si="11"/>
        <v>#VALUE!</v>
      </c>
    </row>
    <row r="1455" spans="1:5" ht="28.8">
      <c r="A1455" s="17" t="s">
        <v>2609</v>
      </c>
      <c r="B1455" s="17" t="s">
        <v>2610</v>
      </c>
      <c r="C1455" s="151" t="s">
        <v>2611</v>
      </c>
      <c r="D1455" s="53" t="e">
        <f t="shared" si="11"/>
        <v>#VALUE!</v>
      </c>
    </row>
    <row r="1456" spans="1:5" ht="28.8">
      <c r="A1456" s="17" t="s">
        <v>2612</v>
      </c>
      <c r="B1456" s="17" t="s">
        <v>2613</v>
      </c>
      <c r="C1456" s="151" t="s">
        <v>2614</v>
      </c>
      <c r="D1456" s="53" t="e">
        <f t="shared" si="11"/>
        <v>#VALUE!</v>
      </c>
    </row>
    <row r="1457" spans="1:4" ht="28.8">
      <c r="A1457" s="17" t="s">
        <v>2615</v>
      </c>
      <c r="B1457" s="17" t="s">
        <v>2616</v>
      </c>
      <c r="C1457" s="151" t="s">
        <v>2617</v>
      </c>
      <c r="D1457" s="53" t="e">
        <f t="shared" si="11"/>
        <v>#VALUE!</v>
      </c>
    </row>
    <row r="1458" spans="1:4">
      <c r="A1458" s="17" t="s">
        <v>2618</v>
      </c>
      <c r="B1458" s="17" t="s">
        <v>2619</v>
      </c>
      <c r="C1458" s="151" t="s">
        <v>2620</v>
      </c>
      <c r="D1458" s="53" t="e">
        <f t="shared" si="11"/>
        <v>#VALUE!</v>
      </c>
    </row>
    <row r="1459" spans="1:4" ht="22.8">
      <c r="A1459" s="152" t="s">
        <v>2541</v>
      </c>
      <c r="B1459" s="152"/>
      <c r="C1459" s="150"/>
      <c r="D1459" s="53">
        <f t="shared" si="11"/>
        <v>0</v>
      </c>
    </row>
    <row r="1460" spans="1:4" ht="28.8">
      <c r="A1460" s="17" t="s">
        <v>2621</v>
      </c>
      <c r="B1460" s="17" t="s">
        <v>2622</v>
      </c>
      <c r="C1460" s="151" t="s">
        <v>2623</v>
      </c>
      <c r="D1460" s="53" t="e">
        <f t="shared" si="11"/>
        <v>#VALUE!</v>
      </c>
    </row>
    <row r="1461" spans="1:4">
      <c r="A1461" s="17"/>
      <c r="B1461" s="33"/>
      <c r="C1461" s="51"/>
      <c r="D1461" s="131"/>
    </row>
    <row r="1462" spans="1:4">
      <c r="A1462" s="17"/>
      <c r="B1462" s="17"/>
      <c r="C1462" s="51"/>
      <c r="D1462" s="131"/>
    </row>
    <row r="1463" spans="1:4">
      <c r="A1463" s="17"/>
      <c r="B1463" s="17"/>
      <c r="C1463" s="51"/>
      <c r="D1463" s="131"/>
    </row>
    <row r="1464" spans="1:4">
      <c r="A1464" s="17"/>
      <c r="B1464" s="17"/>
      <c r="C1464" s="51"/>
      <c r="D1464" s="131"/>
    </row>
    <row r="1465" spans="1:4">
      <c r="A1465" s="17"/>
      <c r="B1465" s="17"/>
      <c r="C1465" s="51"/>
      <c r="D1465" s="131"/>
    </row>
    <row r="1466" spans="1:4">
      <c r="A1466" s="17"/>
      <c r="B1466" s="17"/>
      <c r="C1466" s="51"/>
      <c r="D1466" s="131"/>
    </row>
    <row r="1467" spans="1:4">
      <c r="A1467" s="17"/>
      <c r="B1467" s="17"/>
      <c r="C1467" s="51"/>
      <c r="D1467" s="131"/>
    </row>
    <row r="1468" spans="1:4">
      <c r="A1468" s="17"/>
      <c r="B1468" s="17"/>
      <c r="C1468" s="51"/>
      <c r="D1468" s="131"/>
    </row>
    <row r="1469" spans="1:4">
      <c r="A1469" s="17"/>
      <c r="B1469" s="17"/>
      <c r="C1469" s="51"/>
      <c r="D1469" s="131"/>
    </row>
    <row r="1470" spans="1:4">
      <c r="A1470" s="17"/>
      <c r="B1470" s="17"/>
      <c r="C1470" s="51"/>
      <c r="D1470" s="131"/>
    </row>
    <row r="1471" spans="1:4">
      <c r="A1471" s="17"/>
      <c r="B1471" s="17"/>
      <c r="C1471" s="51"/>
      <c r="D1471" s="131"/>
    </row>
    <row r="1472" spans="1:4">
      <c r="A1472" s="17"/>
      <c r="B1472" s="17"/>
      <c r="C1472" s="51"/>
      <c r="D1472" s="131"/>
    </row>
    <row r="1473" spans="1:4">
      <c r="A1473" s="17"/>
      <c r="B1473" s="17"/>
      <c r="C1473" s="51"/>
      <c r="D1473" s="131"/>
    </row>
    <row r="1474" spans="1:4">
      <c r="A1474" s="17"/>
      <c r="B1474" s="17"/>
      <c r="C1474" s="51"/>
      <c r="D1474" s="131"/>
    </row>
    <row r="1475" spans="1:4">
      <c r="A1475" s="17"/>
      <c r="B1475" s="17"/>
      <c r="C1475" s="51"/>
      <c r="D1475" s="131"/>
    </row>
    <row r="1476" spans="1:4">
      <c r="A1476" s="17"/>
      <c r="B1476" s="17"/>
      <c r="C1476" s="51"/>
      <c r="D1476" s="131"/>
    </row>
    <row r="1477" spans="1:4">
      <c r="A1477" s="17"/>
      <c r="B1477" s="17"/>
      <c r="C1477" s="51"/>
      <c r="D1477" s="131"/>
    </row>
    <row r="1478" spans="1:4">
      <c r="A1478" s="17"/>
      <c r="B1478" s="17"/>
      <c r="C1478" s="51"/>
      <c r="D1478" s="131"/>
    </row>
    <row r="1479" spans="1:4">
      <c r="A1479" s="17"/>
      <c r="B1479" s="17"/>
      <c r="C1479" s="51"/>
      <c r="D1479" s="131"/>
    </row>
    <row r="1480" spans="1:4">
      <c r="A1480" s="17"/>
      <c r="B1480" s="17"/>
      <c r="C1480" s="51"/>
      <c r="D1480" s="131"/>
    </row>
    <row r="1481" spans="1:4">
      <c r="A1481" s="17"/>
      <c r="B1481" s="17"/>
      <c r="C1481" s="51"/>
      <c r="D1481" s="131"/>
    </row>
    <row r="1482" spans="1:4">
      <c r="A1482" s="17"/>
      <c r="B1482" s="17"/>
      <c r="C1482" s="51"/>
      <c r="D1482" s="131"/>
    </row>
    <row r="1483" spans="1:4">
      <c r="A1483" s="17"/>
      <c r="B1483" s="17"/>
      <c r="C1483" s="51"/>
      <c r="D1483" s="131"/>
    </row>
    <row r="1484" spans="1:4">
      <c r="A1484" s="17"/>
      <c r="B1484" s="17"/>
      <c r="C1484" s="51"/>
      <c r="D1484" s="131"/>
    </row>
    <row r="1485" spans="1:4">
      <c r="A1485" s="17"/>
      <c r="B1485" s="17"/>
      <c r="C1485" s="51"/>
      <c r="D1485" s="131"/>
    </row>
    <row r="1486" spans="1:4">
      <c r="A1486" s="17"/>
      <c r="B1486" s="17"/>
      <c r="C1486" s="51"/>
      <c r="D1486" s="131"/>
    </row>
    <row r="1487" spans="1:4">
      <c r="A1487" s="17"/>
      <c r="B1487" s="17"/>
      <c r="C1487" s="51"/>
      <c r="D1487" s="131"/>
    </row>
    <row r="1488" spans="1:4">
      <c r="A1488" s="17"/>
      <c r="B1488" s="17"/>
      <c r="C1488" s="51"/>
      <c r="D1488" s="131"/>
    </row>
    <row r="1489" spans="1:4">
      <c r="A1489" s="17"/>
      <c r="B1489" s="17"/>
      <c r="C1489" s="51"/>
      <c r="D1489" s="131"/>
    </row>
    <row r="1490" spans="1:4">
      <c r="A1490" s="17"/>
      <c r="B1490" s="17"/>
      <c r="C1490" s="51"/>
      <c r="D1490" s="131"/>
    </row>
    <row r="1491" spans="1:4">
      <c r="A1491" s="17"/>
      <c r="B1491" s="17"/>
      <c r="C1491" s="51"/>
      <c r="D1491" s="131"/>
    </row>
    <row r="1492" spans="1:4">
      <c r="A1492" s="17"/>
      <c r="B1492" s="17"/>
      <c r="C1492" s="51"/>
      <c r="D1492" s="131"/>
    </row>
    <row r="1493" spans="1:4">
      <c r="A1493" s="17"/>
      <c r="B1493" s="17"/>
      <c r="C1493" s="51"/>
      <c r="D1493" s="131"/>
    </row>
    <row r="1494" spans="1:4">
      <c r="A1494" s="17"/>
      <c r="B1494" s="17"/>
      <c r="C1494" s="51"/>
      <c r="D1494" s="131"/>
    </row>
    <row r="1495" spans="1:4">
      <c r="A1495" s="17"/>
      <c r="B1495" s="17"/>
      <c r="C1495" s="51"/>
      <c r="D1495" s="131"/>
    </row>
    <row r="1496" spans="1:4">
      <c r="A1496" s="17"/>
      <c r="B1496" s="17"/>
      <c r="C1496" s="51"/>
      <c r="D1496" s="131"/>
    </row>
    <row r="1497" spans="1:4">
      <c r="A1497" s="17"/>
      <c r="B1497" s="17"/>
      <c r="C1497" s="51"/>
      <c r="D1497" s="131"/>
    </row>
    <row r="1498" spans="1:4">
      <c r="A1498" s="17"/>
      <c r="B1498" s="17"/>
      <c r="C1498" s="51"/>
      <c r="D1498" s="131"/>
    </row>
    <row r="1499" spans="1:4">
      <c r="A1499" s="17"/>
      <c r="B1499" s="17"/>
      <c r="C1499" s="51"/>
      <c r="D1499" s="131"/>
    </row>
    <row r="1500" spans="1:4">
      <c r="A1500" s="17"/>
      <c r="B1500" s="17"/>
      <c r="C1500" s="51"/>
      <c r="D1500" s="131"/>
    </row>
    <row r="1501" spans="1:4">
      <c r="A1501" s="17"/>
      <c r="B1501" s="17"/>
      <c r="C1501" s="51"/>
      <c r="D1501" s="131"/>
    </row>
    <row r="1502" spans="1:4">
      <c r="A1502" s="17"/>
      <c r="B1502" s="17"/>
      <c r="C1502" s="51"/>
      <c r="D1502" s="131"/>
    </row>
    <row r="1503" spans="1:4">
      <c r="A1503" s="17"/>
      <c r="B1503" s="17"/>
      <c r="C1503" s="51"/>
      <c r="D1503" s="131"/>
    </row>
    <row r="1504" spans="1:4">
      <c r="A1504" s="17"/>
      <c r="B1504" s="17"/>
      <c r="C1504" s="51"/>
      <c r="D1504" s="131"/>
    </row>
    <row r="1505" spans="1:4">
      <c r="A1505" s="17"/>
      <c r="B1505" s="17"/>
      <c r="C1505" s="51"/>
      <c r="D1505" s="131"/>
    </row>
    <row r="1506" spans="1:4">
      <c r="A1506" s="17"/>
      <c r="B1506" s="17"/>
      <c r="C1506" s="51"/>
      <c r="D1506" s="131"/>
    </row>
    <row r="1507" spans="1:4">
      <c r="A1507" s="17"/>
      <c r="B1507" s="17"/>
      <c r="C1507" s="51"/>
      <c r="D1507" s="131"/>
    </row>
    <row r="1508" spans="1:4">
      <c r="A1508" s="17"/>
      <c r="B1508" s="17"/>
      <c r="C1508" s="51"/>
      <c r="D1508" s="131"/>
    </row>
    <row r="1509" spans="1:4">
      <c r="A1509" s="17"/>
      <c r="B1509" s="17"/>
      <c r="C1509" s="51"/>
      <c r="D1509" s="131"/>
    </row>
    <row r="1510" spans="1:4">
      <c r="A1510" s="17"/>
      <c r="B1510" s="17"/>
      <c r="C1510" s="51"/>
      <c r="D1510" s="131"/>
    </row>
    <row r="1511" spans="1:4">
      <c r="A1511" s="17"/>
      <c r="B1511" s="17"/>
      <c r="C1511" s="51"/>
      <c r="D1511" s="131"/>
    </row>
    <row r="1512" spans="1:4">
      <c r="A1512" s="17"/>
      <c r="B1512" s="17"/>
      <c r="C1512" s="51"/>
      <c r="D1512" s="131"/>
    </row>
    <row r="1513" spans="1:4">
      <c r="A1513" s="17"/>
      <c r="B1513" s="17"/>
      <c r="C1513" s="51"/>
      <c r="D1513" s="131"/>
    </row>
    <row r="1514" spans="1:4">
      <c r="A1514" s="17"/>
      <c r="B1514" s="17"/>
      <c r="C1514" s="51"/>
      <c r="D1514" s="131"/>
    </row>
    <row r="1515" spans="1:4">
      <c r="A1515" s="17"/>
      <c r="B1515" s="17"/>
      <c r="C1515" s="51"/>
      <c r="D1515" s="131"/>
    </row>
    <row r="1516" spans="1:4">
      <c r="A1516" s="17"/>
      <c r="B1516" s="17"/>
      <c r="C1516" s="51"/>
      <c r="D1516" s="131"/>
    </row>
    <row r="1517" spans="1:4">
      <c r="A1517" s="17"/>
      <c r="B1517" s="17"/>
      <c r="C1517" s="51"/>
      <c r="D1517" s="131"/>
    </row>
    <row r="1518" spans="1:4">
      <c r="A1518" s="17"/>
      <c r="B1518" s="17"/>
      <c r="C1518" s="51"/>
      <c r="D1518" s="131"/>
    </row>
    <row r="1519" spans="1:4">
      <c r="A1519" s="17"/>
      <c r="B1519" s="17"/>
      <c r="C1519" s="51"/>
      <c r="D1519" s="131"/>
    </row>
    <row r="1520" spans="1:4">
      <c r="A1520" s="17"/>
      <c r="B1520" s="17"/>
      <c r="C1520" s="51"/>
      <c r="D1520" s="131"/>
    </row>
    <row r="1521" spans="1:4">
      <c r="A1521" s="17"/>
      <c r="B1521" s="17"/>
      <c r="C1521" s="51"/>
      <c r="D1521" s="131"/>
    </row>
    <row r="1522" spans="1:4">
      <c r="A1522" s="17"/>
      <c r="B1522" s="17"/>
      <c r="C1522" s="51"/>
      <c r="D1522" s="131"/>
    </row>
    <row r="1523" spans="1:4">
      <c r="A1523" s="17"/>
      <c r="B1523" s="17"/>
      <c r="C1523" s="51"/>
      <c r="D1523" s="131"/>
    </row>
    <row r="1524" spans="1:4">
      <c r="A1524" s="17"/>
      <c r="B1524" s="17"/>
      <c r="C1524" s="51"/>
      <c r="D1524" s="131"/>
    </row>
    <row r="1525" spans="1:4">
      <c r="A1525" s="17"/>
      <c r="B1525" s="17"/>
      <c r="C1525" s="51"/>
      <c r="D1525" s="131"/>
    </row>
    <row r="1526" spans="1:4">
      <c r="A1526" s="17"/>
      <c r="B1526" s="17"/>
      <c r="C1526" s="51"/>
      <c r="D1526" s="131"/>
    </row>
    <row r="1527" spans="1:4">
      <c r="A1527" s="17"/>
      <c r="B1527" s="17"/>
      <c r="C1527" s="51"/>
      <c r="D1527" s="131"/>
    </row>
    <row r="1528" spans="1:4">
      <c r="A1528" s="17"/>
      <c r="B1528" s="17"/>
      <c r="C1528" s="51"/>
      <c r="D1528" s="131"/>
    </row>
    <row r="1529" spans="1:4">
      <c r="A1529" s="17"/>
      <c r="B1529" s="17"/>
      <c r="C1529" s="51"/>
      <c r="D1529" s="131"/>
    </row>
    <row r="1530" spans="1:4">
      <c r="A1530" s="17"/>
      <c r="B1530" s="17"/>
      <c r="C1530" s="51"/>
      <c r="D1530" s="131"/>
    </row>
    <row r="1531" spans="1:4">
      <c r="A1531" s="17"/>
      <c r="B1531" s="17"/>
      <c r="C1531" s="51"/>
      <c r="D1531" s="131"/>
    </row>
    <row r="1532" spans="1:4">
      <c r="A1532" s="17"/>
      <c r="B1532" s="17"/>
      <c r="C1532" s="51"/>
      <c r="D1532" s="131"/>
    </row>
    <row r="1533" spans="1:4">
      <c r="A1533" s="17"/>
      <c r="B1533" s="17"/>
      <c r="C1533" s="51"/>
      <c r="D1533" s="131"/>
    </row>
    <row r="1534" spans="1:4">
      <c r="A1534" s="17"/>
      <c r="B1534" s="17"/>
      <c r="C1534" s="51"/>
      <c r="D1534" s="131"/>
    </row>
    <row r="1535" spans="1:4">
      <c r="A1535" s="17"/>
      <c r="B1535" s="17"/>
      <c r="C1535" s="51"/>
      <c r="D1535" s="131"/>
    </row>
    <row r="1536" spans="1:4">
      <c r="A1536" s="17"/>
      <c r="B1536" s="17"/>
      <c r="C1536" s="51"/>
      <c r="D1536" s="131"/>
    </row>
    <row r="1537" spans="1:4">
      <c r="A1537" s="17"/>
      <c r="B1537" s="17"/>
      <c r="C1537" s="51"/>
      <c r="D1537" s="131"/>
    </row>
    <row r="1538" spans="1:4">
      <c r="A1538" s="17"/>
      <c r="B1538" s="17"/>
      <c r="C1538" s="51"/>
      <c r="D1538" s="131"/>
    </row>
    <row r="1539" spans="1:4">
      <c r="A1539" s="17"/>
      <c r="B1539" s="17"/>
      <c r="C1539" s="51"/>
      <c r="D1539" s="131"/>
    </row>
    <row r="1540" spans="1:4">
      <c r="A1540" s="17"/>
      <c r="B1540" s="17"/>
      <c r="C1540" s="51"/>
      <c r="D1540" s="131"/>
    </row>
    <row r="1541" spans="1:4">
      <c r="A1541" s="17"/>
      <c r="B1541" s="17"/>
      <c r="C1541" s="51"/>
      <c r="D1541" s="131"/>
    </row>
    <row r="1542" spans="1:4">
      <c r="A1542" s="17"/>
      <c r="B1542" s="17"/>
      <c r="C1542" s="51"/>
      <c r="D1542" s="131"/>
    </row>
    <row r="1543" spans="1:4">
      <c r="A1543" s="17"/>
      <c r="B1543" s="17"/>
      <c r="C1543" s="51"/>
      <c r="D1543" s="131"/>
    </row>
    <row r="1544" spans="1:4">
      <c r="A1544" s="17"/>
      <c r="B1544" s="17"/>
      <c r="C1544" s="51"/>
      <c r="D1544" s="51"/>
    </row>
    <row r="1545" spans="1:4">
      <c r="A1545" s="17"/>
      <c r="B1545" s="17"/>
      <c r="C1545" s="51"/>
      <c r="D1545" s="51"/>
    </row>
    <row r="1546" spans="1:4">
      <c r="A1546" s="17"/>
      <c r="B1546" s="17"/>
      <c r="C1546" s="51"/>
      <c r="D1546" s="51"/>
    </row>
    <row r="1547" spans="1:4">
      <c r="A1547" s="17"/>
      <c r="B1547" s="17"/>
      <c r="C1547" s="51"/>
      <c r="D1547" s="51"/>
    </row>
    <row r="1548" spans="1:4">
      <c r="A1548" s="17"/>
      <c r="B1548" s="17"/>
      <c r="C1548" s="51"/>
      <c r="D1548" s="51"/>
    </row>
    <row r="1549" spans="1:4">
      <c r="A1549" s="17"/>
      <c r="B1549" s="17"/>
      <c r="C1549" s="51"/>
      <c r="D1549" s="51"/>
    </row>
    <row r="1550" spans="1:4">
      <c r="A1550" s="17"/>
      <c r="B1550" s="17"/>
      <c r="C1550" s="51"/>
      <c r="D1550" s="51"/>
    </row>
    <row r="1551" spans="1:4">
      <c r="A1551" s="17"/>
      <c r="B1551" s="17"/>
      <c r="C1551" s="51"/>
      <c r="D1551" s="51"/>
    </row>
    <row r="1552" spans="1:4">
      <c r="A1552" s="17"/>
      <c r="B1552" s="17"/>
      <c r="C1552" s="51"/>
      <c r="D1552" s="51"/>
    </row>
    <row r="1553" spans="1:4">
      <c r="A1553" s="17"/>
      <c r="B1553" s="17"/>
      <c r="C1553" s="51"/>
      <c r="D1553" s="51"/>
    </row>
    <row r="1554" spans="1:4">
      <c r="A1554" s="17"/>
      <c r="B1554" s="17"/>
      <c r="C1554" s="51"/>
      <c r="D1554" s="51"/>
    </row>
    <row r="1555" spans="1:4">
      <c r="A1555" s="17"/>
      <c r="B1555" s="17"/>
      <c r="C1555" s="51"/>
      <c r="D1555" s="51"/>
    </row>
    <row r="1556" spans="1:4">
      <c r="A1556" s="17"/>
      <c r="B1556" s="17"/>
      <c r="C1556" s="51"/>
      <c r="D1556" s="51"/>
    </row>
    <row r="1557" spans="1:4">
      <c r="A1557" s="17"/>
      <c r="B1557" s="17"/>
      <c r="C1557" s="51"/>
      <c r="D1557" s="51"/>
    </row>
    <row r="1558" spans="1:4">
      <c r="A1558" s="17"/>
      <c r="B1558" s="17"/>
      <c r="C1558" s="51"/>
      <c r="D1558" s="51"/>
    </row>
    <row r="1559" spans="1:4">
      <c r="A1559" s="17"/>
      <c r="B1559" s="17"/>
      <c r="C1559" s="51"/>
      <c r="D1559" s="51"/>
    </row>
    <row r="1560" spans="1:4">
      <c r="A1560" s="17"/>
      <c r="B1560" s="17"/>
      <c r="C1560" s="51"/>
      <c r="D1560" s="51"/>
    </row>
    <row r="1561" spans="1:4">
      <c r="A1561" s="17"/>
      <c r="B1561" s="17"/>
      <c r="C1561" s="51"/>
      <c r="D1561" s="51"/>
    </row>
    <row r="1562" spans="1:4">
      <c r="A1562" s="17"/>
      <c r="B1562" s="17"/>
      <c r="C1562" s="51"/>
      <c r="D1562" s="51"/>
    </row>
    <row r="1563" spans="1:4">
      <c r="A1563" s="17"/>
      <c r="B1563" s="17"/>
      <c r="C1563" s="51"/>
      <c r="D1563" s="51"/>
    </row>
    <row r="1564" spans="1:4">
      <c r="A1564" s="17"/>
      <c r="B1564" s="17"/>
      <c r="C1564" s="51"/>
      <c r="D1564" s="51"/>
    </row>
    <row r="1565" spans="1:4">
      <c r="A1565" s="17"/>
      <c r="B1565" s="17"/>
      <c r="C1565" s="51"/>
      <c r="D1565" s="51"/>
    </row>
    <row r="1566" spans="1:4">
      <c r="A1566" s="17"/>
      <c r="B1566" s="17"/>
      <c r="C1566" s="51"/>
      <c r="D1566" s="51"/>
    </row>
    <row r="1567" spans="1:4">
      <c r="A1567" s="17"/>
      <c r="B1567" s="17"/>
      <c r="C1567" s="51"/>
      <c r="D1567" s="51"/>
    </row>
    <row r="1568" spans="1:4">
      <c r="A1568" s="17"/>
      <c r="B1568" s="17"/>
      <c r="C1568" s="51"/>
      <c r="D1568" s="51"/>
    </row>
    <row r="1569" spans="1:4">
      <c r="A1569" s="17"/>
      <c r="B1569" s="17"/>
      <c r="C1569" s="51"/>
      <c r="D1569" s="51"/>
    </row>
    <row r="1570" spans="1:4">
      <c r="A1570" s="17"/>
      <c r="B1570" s="17"/>
      <c r="C1570" s="51"/>
      <c r="D1570" s="51"/>
    </row>
    <row r="1571" spans="1:4">
      <c r="A1571" s="17"/>
      <c r="B1571" s="17"/>
      <c r="C1571" s="51"/>
      <c r="D1571" s="51"/>
    </row>
    <row r="1572" spans="1:4">
      <c r="A1572" s="17"/>
      <c r="B1572" s="17"/>
      <c r="C1572" s="51"/>
      <c r="D1572" s="51"/>
    </row>
    <row r="1573" spans="1:4">
      <c r="A1573" s="17"/>
      <c r="B1573" s="17"/>
      <c r="C1573" s="51"/>
      <c r="D1573" s="51"/>
    </row>
    <row r="1574" spans="1:4">
      <c r="A1574" s="17"/>
      <c r="B1574" s="17"/>
      <c r="C1574" s="51"/>
      <c r="D1574" s="51"/>
    </row>
    <row r="1575" spans="1:4">
      <c r="A1575" s="17"/>
      <c r="B1575" s="17"/>
      <c r="C1575" s="51"/>
      <c r="D1575" s="51"/>
    </row>
    <row r="1576" spans="1:4">
      <c r="A1576" s="17"/>
      <c r="B1576" s="17"/>
      <c r="C1576" s="51"/>
      <c r="D1576" s="51"/>
    </row>
    <row r="1577" spans="1:4">
      <c r="A1577" s="17"/>
      <c r="B1577" s="17"/>
      <c r="C1577" s="51"/>
      <c r="D1577" s="51"/>
    </row>
    <row r="1578" spans="1:4">
      <c r="A1578" s="17"/>
      <c r="B1578" s="17"/>
      <c r="C1578" s="51"/>
      <c r="D1578" s="51"/>
    </row>
    <row r="1579" spans="1:4">
      <c r="A1579" s="17"/>
      <c r="B1579" s="17"/>
      <c r="C1579" s="51"/>
      <c r="D1579" s="51"/>
    </row>
    <row r="1580" spans="1:4">
      <c r="A1580" s="17"/>
      <c r="B1580" s="17"/>
      <c r="C1580" s="51"/>
      <c r="D1580" s="51"/>
    </row>
    <row r="1581" spans="1:4">
      <c r="A1581" s="17"/>
      <c r="B1581" s="17"/>
      <c r="C1581" s="51"/>
      <c r="D1581" s="51"/>
    </row>
    <row r="1582" spans="1:4">
      <c r="A1582" s="17"/>
      <c r="B1582" s="17"/>
      <c r="C1582" s="51"/>
      <c r="D1582" s="51"/>
    </row>
    <row r="1583" spans="1:4">
      <c r="A1583" s="17"/>
      <c r="B1583" s="17"/>
      <c r="C1583" s="51"/>
      <c r="D1583" s="51"/>
    </row>
    <row r="1584" spans="1:4">
      <c r="A1584" s="17"/>
      <c r="B1584" s="17"/>
      <c r="C1584" s="51"/>
      <c r="D1584" s="51"/>
    </row>
    <row r="1585" spans="1:4">
      <c r="A1585" s="17"/>
      <c r="B1585" s="17"/>
      <c r="C1585" s="51"/>
      <c r="D1585" s="51"/>
    </row>
    <row r="1586" spans="1:4">
      <c r="A1586" s="17"/>
      <c r="B1586" s="17"/>
      <c r="C1586" s="51"/>
      <c r="D1586" s="51"/>
    </row>
    <row r="1587" spans="1:4">
      <c r="A1587" s="17"/>
      <c r="B1587" s="17"/>
      <c r="C1587" s="51"/>
      <c r="D1587" s="51"/>
    </row>
    <row r="1588" spans="1:4">
      <c r="A1588" s="17"/>
      <c r="B1588" s="17"/>
      <c r="C1588" s="51"/>
      <c r="D1588" s="51"/>
    </row>
    <row r="1589" spans="1:4">
      <c r="A1589" s="17"/>
      <c r="B1589" s="17"/>
      <c r="C1589" s="51"/>
      <c r="D1589" s="51"/>
    </row>
    <row r="1590" spans="1:4">
      <c r="A1590" s="17"/>
      <c r="B1590" s="17"/>
      <c r="C1590" s="51"/>
      <c r="D1590" s="51"/>
    </row>
    <row r="1591" spans="1:4">
      <c r="A1591" s="17"/>
      <c r="B1591" s="17"/>
      <c r="C1591" s="51"/>
      <c r="D1591" s="51"/>
    </row>
    <row r="1592" spans="1:4">
      <c r="A1592" s="17"/>
      <c r="B1592" s="17"/>
      <c r="C1592" s="51"/>
      <c r="D1592" s="51"/>
    </row>
    <row r="1593" spans="1:4">
      <c r="A1593" s="17"/>
      <c r="B1593" s="17"/>
      <c r="C1593" s="51"/>
      <c r="D1593" s="51"/>
    </row>
    <row r="1594" spans="1:4">
      <c r="A1594" s="17"/>
      <c r="B1594" s="17"/>
      <c r="C1594" s="51"/>
      <c r="D1594" s="51"/>
    </row>
    <row r="1595" spans="1:4">
      <c r="A1595" s="17"/>
      <c r="B1595" s="17"/>
      <c r="C1595" s="51"/>
      <c r="D1595" s="51"/>
    </row>
    <row r="1596" spans="1:4">
      <c r="A1596" s="17"/>
      <c r="B1596" s="17"/>
      <c r="C1596" s="51"/>
      <c r="D1596" s="51"/>
    </row>
    <row r="1597" spans="1:4">
      <c r="A1597" s="17"/>
      <c r="B1597" s="17"/>
      <c r="C1597" s="51"/>
      <c r="D1597" s="51"/>
    </row>
    <row r="1598" spans="1:4">
      <c r="A1598" s="17"/>
      <c r="B1598" s="17"/>
      <c r="C1598" s="51"/>
      <c r="D1598" s="51"/>
    </row>
    <row r="1599" spans="1:4">
      <c r="A1599" s="17"/>
      <c r="B1599" s="17"/>
      <c r="C1599" s="51"/>
      <c r="D1599" s="51"/>
    </row>
    <row r="1600" spans="1:4">
      <c r="A1600" s="17"/>
      <c r="B1600" s="17"/>
      <c r="C1600" s="51"/>
      <c r="D1600" s="51"/>
    </row>
    <row r="1601" spans="1:4">
      <c r="A1601" s="17"/>
      <c r="B1601" s="17"/>
      <c r="C1601" s="56"/>
      <c r="D1601" s="51"/>
    </row>
    <row r="1602" spans="1:4">
      <c r="A1602" s="17"/>
      <c r="B1602" s="17"/>
      <c r="C1602" s="56"/>
      <c r="D1602" s="51"/>
    </row>
    <row r="1603" spans="1:4">
      <c r="A1603" s="17"/>
      <c r="B1603" s="17"/>
      <c r="C1603" s="56"/>
      <c r="D1603" s="51"/>
    </row>
    <row r="1604" spans="1:4">
      <c r="A1604" s="17"/>
      <c r="B1604" s="17"/>
      <c r="C1604" s="56"/>
      <c r="D1604" s="51"/>
    </row>
    <row r="1605" spans="1:4">
      <c r="A1605" s="17"/>
      <c r="B1605" s="17"/>
      <c r="C1605" s="56"/>
      <c r="D1605" s="51"/>
    </row>
    <row r="1606" spans="1:4">
      <c r="A1606" s="17"/>
      <c r="B1606" s="17"/>
      <c r="C1606" s="56"/>
      <c r="D1606" s="51"/>
    </row>
    <row r="1607" spans="1:4">
      <c r="A1607" s="17"/>
      <c r="B1607" s="17"/>
      <c r="C1607" s="56"/>
      <c r="D1607" s="51"/>
    </row>
    <row r="1608" spans="1:4">
      <c r="A1608" s="17"/>
      <c r="B1608" s="17"/>
      <c r="C1608" s="56"/>
      <c r="D1608" s="51"/>
    </row>
    <row r="1609" spans="1:4">
      <c r="A1609" s="17"/>
      <c r="B1609" s="17"/>
      <c r="C1609" s="56"/>
      <c r="D1609" s="51"/>
    </row>
    <row r="1610" spans="1:4">
      <c r="A1610" s="17"/>
      <c r="B1610" s="17"/>
      <c r="C1610" s="56"/>
      <c r="D1610" s="51"/>
    </row>
    <row r="1611" spans="1:4">
      <c r="A1611" s="17"/>
      <c r="B1611" s="17"/>
      <c r="C1611" s="56"/>
      <c r="D1611" s="51"/>
    </row>
    <row r="1612" spans="1:4">
      <c r="A1612" s="17"/>
      <c r="B1612" s="17"/>
      <c r="C1612" s="56"/>
      <c r="D1612" s="51"/>
    </row>
    <row r="1613" spans="1:4">
      <c r="A1613" s="17"/>
      <c r="B1613" s="17"/>
      <c r="C1613" s="56"/>
      <c r="D1613" s="51"/>
    </row>
    <row r="1614" spans="1:4">
      <c r="A1614" s="17"/>
      <c r="B1614" s="17"/>
      <c r="C1614" s="56"/>
      <c r="D1614" s="51"/>
    </row>
    <row r="1615" spans="1:4">
      <c r="A1615" s="17"/>
      <c r="B1615" s="17"/>
      <c r="C1615" s="56"/>
      <c r="D1615" s="51"/>
    </row>
    <row r="1616" spans="1:4">
      <c r="A1616" s="17"/>
      <c r="B1616" s="17"/>
      <c r="C1616" s="56"/>
      <c r="D1616" s="51"/>
    </row>
    <row r="1617" spans="1:4">
      <c r="A1617" s="17"/>
      <c r="B1617" s="17"/>
      <c r="C1617" s="56"/>
      <c r="D1617" s="51"/>
    </row>
    <row r="1618" spans="1:4">
      <c r="A1618" s="17"/>
      <c r="B1618" s="17"/>
      <c r="C1618" s="56"/>
      <c r="D1618" s="51"/>
    </row>
    <row r="1619" spans="1:4">
      <c r="A1619" s="17"/>
      <c r="B1619" s="17"/>
      <c r="C1619" s="56"/>
      <c r="D1619" s="51"/>
    </row>
    <row r="1620" spans="1:4">
      <c r="A1620" s="17"/>
      <c r="B1620" s="17"/>
      <c r="C1620" s="56"/>
      <c r="D1620" s="51"/>
    </row>
    <row r="1621" spans="1:4">
      <c r="A1621" s="17"/>
      <c r="B1621" s="17"/>
      <c r="C1621" s="56"/>
      <c r="D1621" s="51"/>
    </row>
    <row r="1622" spans="1:4">
      <c r="A1622" s="17"/>
      <c r="B1622" s="17"/>
      <c r="C1622" s="56"/>
      <c r="D1622" s="51"/>
    </row>
    <row r="1623" spans="1:4">
      <c r="A1623" s="17"/>
      <c r="B1623" s="17"/>
      <c r="C1623" s="56"/>
      <c r="D1623" s="51"/>
    </row>
    <row r="1624" spans="1:4">
      <c r="A1624" s="17"/>
      <c r="B1624" s="17"/>
      <c r="C1624" s="56"/>
      <c r="D1624" s="51"/>
    </row>
    <row r="1625" spans="1:4">
      <c r="A1625" s="17"/>
      <c r="B1625" s="17"/>
      <c r="C1625" s="56"/>
      <c r="D1625" s="51"/>
    </row>
    <row r="1626" spans="1:4">
      <c r="A1626" s="17"/>
      <c r="B1626" s="17"/>
      <c r="C1626" s="56"/>
      <c r="D1626" s="51"/>
    </row>
    <row r="1627" spans="1:4">
      <c r="A1627" s="17"/>
      <c r="B1627" s="17"/>
      <c r="C1627" s="56"/>
      <c r="D1627" s="51"/>
    </row>
    <row r="1628" spans="1:4">
      <c r="A1628" s="17"/>
      <c r="B1628" s="17"/>
      <c r="C1628" s="56"/>
      <c r="D1628" s="51"/>
    </row>
    <row r="1629" spans="1:4">
      <c r="A1629" s="17"/>
      <c r="B1629" s="17"/>
      <c r="C1629" s="56"/>
      <c r="D1629" s="51"/>
    </row>
    <row r="1630" spans="1:4">
      <c r="A1630" s="17"/>
      <c r="B1630" s="17"/>
      <c r="C1630" s="56"/>
      <c r="D1630" s="51"/>
    </row>
    <row r="1631" spans="1:4">
      <c r="A1631" s="17"/>
      <c r="B1631" s="17"/>
      <c r="C1631" s="56"/>
      <c r="D1631" s="51"/>
    </row>
    <row r="1632" spans="1:4">
      <c r="A1632" s="17"/>
      <c r="B1632" s="17"/>
      <c r="C1632" s="56"/>
      <c r="D1632" s="51"/>
    </row>
    <row r="1633" spans="1:4">
      <c r="A1633" s="17"/>
      <c r="B1633" s="17"/>
      <c r="C1633" s="56"/>
      <c r="D1633" s="51"/>
    </row>
    <row r="1634" spans="1:4">
      <c r="A1634" s="17"/>
      <c r="B1634" s="17"/>
      <c r="C1634" s="56"/>
      <c r="D1634" s="51"/>
    </row>
    <row r="1635" spans="1:4">
      <c r="A1635" s="17"/>
      <c r="B1635" s="17"/>
      <c r="C1635" s="56"/>
      <c r="D1635" s="51"/>
    </row>
    <row r="1636" spans="1:4">
      <c r="A1636" s="17"/>
      <c r="B1636" s="17"/>
      <c r="C1636" s="56"/>
      <c r="D1636" s="51"/>
    </row>
    <row r="1637" spans="1:4">
      <c r="A1637" s="17"/>
      <c r="B1637" s="17"/>
      <c r="C1637" s="56"/>
      <c r="D1637" s="51"/>
    </row>
    <row r="1638" spans="1:4">
      <c r="A1638" s="17"/>
      <c r="B1638" s="17"/>
      <c r="C1638" s="56"/>
      <c r="D1638" s="51"/>
    </row>
    <row r="1639" spans="1:4">
      <c r="A1639" s="17"/>
      <c r="B1639" s="17"/>
      <c r="C1639" s="56"/>
      <c r="D1639" s="51"/>
    </row>
    <row r="1640" spans="1:4">
      <c r="A1640" s="17"/>
      <c r="B1640" s="17"/>
      <c r="C1640" s="56"/>
      <c r="D1640" s="51"/>
    </row>
    <row r="1641" spans="1:4">
      <c r="A1641" s="17"/>
      <c r="B1641" s="17"/>
      <c r="C1641" s="56"/>
      <c r="D1641" s="51"/>
    </row>
    <row r="1642" spans="1:4">
      <c r="A1642" s="17"/>
      <c r="B1642" s="17"/>
      <c r="C1642" s="56"/>
      <c r="D1642" s="51"/>
    </row>
    <row r="1643" spans="1:4">
      <c r="A1643" s="17"/>
      <c r="B1643" s="17"/>
      <c r="C1643" s="56"/>
      <c r="D1643" s="51"/>
    </row>
    <row r="1644" spans="1:4">
      <c r="A1644" s="17"/>
      <c r="B1644" s="17"/>
      <c r="C1644" s="56"/>
      <c r="D1644" s="51"/>
    </row>
    <row r="1645" spans="1:4">
      <c r="A1645" s="17"/>
      <c r="B1645" s="17"/>
      <c r="C1645" s="56"/>
      <c r="D1645" s="51"/>
    </row>
    <row r="1646" spans="1:4">
      <c r="A1646" s="17"/>
      <c r="B1646" s="17"/>
      <c r="C1646" s="56"/>
      <c r="D1646" s="51"/>
    </row>
    <row r="1647" spans="1:4">
      <c r="A1647" s="17"/>
      <c r="B1647" s="17"/>
      <c r="C1647" s="56"/>
      <c r="D1647" s="51"/>
    </row>
    <row r="1648" spans="1:4">
      <c r="A1648" s="17"/>
      <c r="B1648" s="17"/>
      <c r="C1648" s="56"/>
      <c r="D1648" s="51"/>
    </row>
    <row r="1649" spans="1:4">
      <c r="A1649" s="17"/>
      <c r="B1649" s="17"/>
      <c r="C1649" s="56"/>
      <c r="D1649" s="51"/>
    </row>
    <row r="1650" spans="1:4">
      <c r="A1650" s="17"/>
      <c r="B1650" s="17"/>
      <c r="C1650" s="56"/>
      <c r="D1650" s="51"/>
    </row>
    <row r="1651" spans="1:4">
      <c r="A1651" s="17"/>
      <c r="B1651" s="17"/>
      <c r="C1651" s="56"/>
      <c r="D1651" s="51"/>
    </row>
    <row r="1652" spans="1:4">
      <c r="A1652" s="17"/>
      <c r="B1652" s="17"/>
      <c r="C1652" s="56"/>
      <c r="D1652" s="51"/>
    </row>
    <row r="1653" spans="1:4">
      <c r="A1653" s="17"/>
      <c r="B1653" s="17"/>
      <c r="C1653" s="56"/>
      <c r="D1653" s="51"/>
    </row>
    <row r="1654" spans="1:4">
      <c r="A1654" s="17"/>
      <c r="B1654" s="17"/>
      <c r="C1654" s="56"/>
      <c r="D1654" s="51"/>
    </row>
    <row r="1655" spans="1:4">
      <c r="A1655" s="17"/>
      <c r="B1655" s="17"/>
      <c r="C1655" s="56"/>
      <c r="D1655" s="51"/>
    </row>
    <row r="1656" spans="1:4">
      <c r="A1656" s="17"/>
      <c r="B1656" s="17"/>
      <c r="C1656" s="56"/>
      <c r="D1656" s="51"/>
    </row>
    <row r="1657" spans="1:4">
      <c r="A1657" s="17"/>
      <c r="B1657" s="17"/>
      <c r="C1657" s="56"/>
      <c r="D1657" s="51"/>
    </row>
    <row r="1658" spans="1:4">
      <c r="A1658" s="17"/>
      <c r="B1658" s="17"/>
      <c r="C1658" s="56"/>
      <c r="D1658" s="51"/>
    </row>
    <row r="1659" spans="1:4">
      <c r="A1659" s="17"/>
      <c r="B1659" s="17"/>
      <c r="C1659" s="56"/>
      <c r="D1659" s="51"/>
    </row>
    <row r="1660" spans="1:4">
      <c r="A1660" s="17"/>
      <c r="B1660" s="17"/>
      <c r="C1660" s="56"/>
      <c r="D1660" s="51"/>
    </row>
    <row r="1661" spans="1:4">
      <c r="A1661" s="17"/>
      <c r="B1661" s="17"/>
      <c r="C1661" s="56"/>
      <c r="D1661" s="51"/>
    </row>
    <row r="1662" spans="1:4">
      <c r="A1662" s="17"/>
      <c r="B1662" s="17"/>
      <c r="C1662" s="56"/>
      <c r="D1662" s="51"/>
    </row>
    <row r="1663" spans="1:4">
      <c r="A1663" s="17"/>
      <c r="B1663" s="17"/>
      <c r="C1663" s="56"/>
      <c r="D1663" s="51"/>
    </row>
    <row r="1664" spans="1:4">
      <c r="A1664" s="17"/>
      <c r="B1664" s="17"/>
      <c r="C1664" s="56"/>
      <c r="D1664" s="51"/>
    </row>
    <row r="1665" spans="1:4">
      <c r="A1665" s="17"/>
      <c r="B1665" s="17"/>
      <c r="C1665" s="56"/>
      <c r="D1665" s="51"/>
    </row>
    <row r="1666" spans="1:4">
      <c r="A1666" s="17"/>
      <c r="B1666" s="17"/>
      <c r="C1666" s="56"/>
      <c r="D1666" s="51"/>
    </row>
    <row r="1667" spans="1:4">
      <c r="A1667" s="17"/>
      <c r="B1667" s="17"/>
      <c r="C1667" s="56"/>
      <c r="D1667" s="51"/>
    </row>
    <row r="1668" spans="1:4">
      <c r="A1668" s="17"/>
      <c r="B1668" s="17"/>
      <c r="C1668" s="56"/>
      <c r="D1668" s="51"/>
    </row>
    <row r="1669" spans="1:4">
      <c r="A1669" s="17"/>
      <c r="B1669" s="17"/>
      <c r="C1669" s="56"/>
      <c r="D1669" s="51"/>
    </row>
    <row r="1670" spans="1:4">
      <c r="A1670" s="17"/>
      <c r="B1670" s="17"/>
      <c r="C1670" s="56"/>
      <c r="D1670" s="51"/>
    </row>
    <row r="1671" spans="1:4">
      <c r="A1671" s="17"/>
      <c r="B1671" s="17"/>
      <c r="C1671" s="56"/>
      <c r="D1671" s="51"/>
    </row>
    <row r="1672" spans="1:4">
      <c r="A1672" s="17"/>
      <c r="B1672" s="17"/>
      <c r="C1672" s="56"/>
      <c r="D1672" s="51"/>
    </row>
    <row r="1673" spans="1:4">
      <c r="A1673" s="17"/>
      <c r="B1673" s="17"/>
      <c r="C1673" s="56"/>
      <c r="D1673" s="51"/>
    </row>
    <row r="1674" spans="1:4">
      <c r="A1674" s="17"/>
      <c r="B1674" s="17"/>
      <c r="C1674" s="56"/>
      <c r="D1674" s="51"/>
    </row>
    <row r="1675" spans="1:4">
      <c r="A1675" s="17"/>
      <c r="B1675" s="17"/>
      <c r="C1675" s="56"/>
      <c r="D1675" s="51"/>
    </row>
    <row r="1676" spans="1:4">
      <c r="A1676" s="17"/>
      <c r="B1676" s="17"/>
      <c r="C1676" s="56"/>
      <c r="D1676" s="51"/>
    </row>
    <row r="1677" spans="1:4">
      <c r="A1677" s="17"/>
      <c r="B1677" s="17"/>
      <c r="C1677" s="56"/>
      <c r="D1677" s="51"/>
    </row>
    <row r="1678" spans="1:4">
      <c r="A1678" s="17"/>
      <c r="B1678" s="17"/>
      <c r="C1678" s="56"/>
      <c r="D1678" s="51"/>
    </row>
    <row r="1679" spans="1:4">
      <c r="A1679" s="17"/>
      <c r="B1679" s="17"/>
      <c r="C1679" s="56"/>
      <c r="D1679" s="51"/>
    </row>
    <row r="1680" spans="1:4">
      <c r="A1680" s="17"/>
      <c r="B1680" s="17"/>
      <c r="C1680" s="56"/>
      <c r="D1680" s="51"/>
    </row>
    <row r="1681" spans="1:4">
      <c r="A1681" s="17"/>
      <c r="B1681" s="17"/>
      <c r="C1681" s="56"/>
      <c r="D1681" s="51"/>
    </row>
    <row r="1682" spans="1:4">
      <c r="A1682" s="17"/>
      <c r="B1682" s="17"/>
      <c r="C1682" s="56"/>
      <c r="D1682" s="51"/>
    </row>
    <row r="1683" spans="1:4">
      <c r="A1683" s="17"/>
      <c r="B1683" s="17"/>
      <c r="C1683" s="56"/>
      <c r="D1683" s="51"/>
    </row>
    <row r="1684" spans="1:4">
      <c r="A1684" s="17"/>
      <c r="B1684" s="17"/>
      <c r="C1684" s="56"/>
      <c r="D1684" s="51"/>
    </row>
    <row r="1685" spans="1:4">
      <c r="A1685" s="17"/>
      <c r="B1685" s="17"/>
      <c r="C1685" s="56"/>
      <c r="D1685" s="51"/>
    </row>
    <row r="1686" spans="1:4">
      <c r="A1686" s="17"/>
      <c r="B1686" s="17"/>
      <c r="C1686" s="56"/>
      <c r="D1686" s="51"/>
    </row>
    <row r="1687" spans="1:4">
      <c r="A1687" s="17"/>
      <c r="B1687" s="17"/>
      <c r="C1687" s="56"/>
      <c r="D1687" s="51"/>
    </row>
    <row r="1688" spans="1:4">
      <c r="A1688" s="17"/>
      <c r="B1688" s="17"/>
      <c r="C1688" s="56"/>
      <c r="D1688" s="51"/>
    </row>
    <row r="1689" spans="1:4">
      <c r="A1689" s="17"/>
      <c r="B1689" s="17"/>
      <c r="C1689" s="56"/>
      <c r="D1689" s="51"/>
    </row>
    <row r="1690" spans="1:4">
      <c r="A1690" s="17"/>
      <c r="B1690" s="17"/>
      <c r="C1690" s="56"/>
      <c r="D1690" s="51"/>
    </row>
    <row r="1691" spans="1:4">
      <c r="A1691" s="17"/>
      <c r="B1691" s="17"/>
      <c r="C1691" s="56"/>
      <c r="D1691" s="51"/>
    </row>
    <row r="1692" spans="1:4">
      <c r="A1692" s="17"/>
      <c r="B1692" s="17"/>
      <c r="C1692" s="56"/>
      <c r="D1692" s="51"/>
    </row>
    <row r="1693" spans="1:4">
      <c r="A1693" s="17"/>
      <c r="B1693" s="17"/>
      <c r="C1693" s="56"/>
      <c r="D1693" s="51"/>
    </row>
    <row r="1694" spans="1:4">
      <c r="A1694" s="17"/>
      <c r="B1694" s="17"/>
      <c r="C1694" s="56"/>
      <c r="D1694" s="51"/>
    </row>
    <row r="1695" spans="1:4">
      <c r="A1695" s="17"/>
      <c r="B1695" s="17"/>
      <c r="C1695" s="56"/>
      <c r="D1695" s="51"/>
    </row>
    <row r="1696" spans="1:4">
      <c r="A1696" s="17"/>
      <c r="B1696" s="17"/>
      <c r="C1696" s="56"/>
      <c r="D1696" s="51"/>
    </row>
    <row r="1697" spans="1:4">
      <c r="A1697" s="17"/>
      <c r="B1697" s="17"/>
      <c r="C1697" s="56"/>
      <c r="D1697" s="51"/>
    </row>
    <row r="1698" spans="1:4">
      <c r="A1698" s="17"/>
      <c r="B1698" s="17"/>
      <c r="C1698" s="56"/>
      <c r="D1698" s="51"/>
    </row>
    <row r="1699" spans="1:4">
      <c r="A1699" s="17"/>
      <c r="B1699" s="17"/>
      <c r="C1699" s="56"/>
      <c r="D1699" s="51"/>
    </row>
    <row r="1700" spans="1:4">
      <c r="A1700" s="17"/>
      <c r="B1700" s="17"/>
      <c r="C1700" s="56"/>
      <c r="D1700" s="51"/>
    </row>
    <row r="1701" spans="1:4">
      <c r="A1701" s="17"/>
      <c r="B1701" s="17"/>
      <c r="C1701" s="56"/>
      <c r="D1701" s="51"/>
    </row>
    <row r="1702" spans="1:4">
      <c r="A1702" s="17"/>
      <c r="B1702" s="17"/>
      <c r="C1702" s="56"/>
      <c r="D1702" s="51"/>
    </row>
    <row r="1703" spans="1:4">
      <c r="A1703" s="17"/>
      <c r="B1703" s="17"/>
      <c r="C1703" s="56"/>
      <c r="D1703" s="51"/>
    </row>
    <row r="1704" spans="1:4">
      <c r="A1704" s="17"/>
      <c r="B1704" s="17"/>
      <c r="C1704" s="56"/>
      <c r="D1704" s="51"/>
    </row>
    <row r="1705" spans="1:4">
      <c r="A1705" s="17"/>
      <c r="B1705" s="17"/>
      <c r="C1705" s="56"/>
      <c r="D1705" s="51"/>
    </row>
    <row r="1706" spans="1:4">
      <c r="A1706" s="17"/>
      <c r="B1706" s="17"/>
      <c r="C1706" s="56"/>
      <c r="D1706" s="51"/>
    </row>
    <row r="1707" spans="1:4">
      <c r="A1707" s="17"/>
      <c r="B1707" s="17"/>
      <c r="C1707" s="56"/>
      <c r="D1707" s="51"/>
    </row>
    <row r="1708" spans="1:4">
      <c r="A1708" s="17"/>
      <c r="B1708" s="17"/>
      <c r="C1708" s="56"/>
      <c r="D1708" s="51"/>
    </row>
    <row r="1709" spans="1:4">
      <c r="A1709" s="17"/>
      <c r="B1709" s="17"/>
      <c r="C1709" s="56"/>
      <c r="D1709" s="51"/>
    </row>
    <row r="1710" spans="1:4">
      <c r="A1710" s="17"/>
      <c r="B1710" s="17"/>
      <c r="C1710" s="56"/>
      <c r="D1710" s="51"/>
    </row>
    <row r="1711" spans="1:4">
      <c r="A1711" s="17"/>
      <c r="B1711" s="17"/>
      <c r="C1711" s="56"/>
      <c r="D1711" s="51"/>
    </row>
    <row r="1712" spans="1:4">
      <c r="A1712" s="17"/>
      <c r="B1712" s="17"/>
      <c r="C1712" s="56"/>
      <c r="D1712" s="51"/>
    </row>
    <row r="1713" spans="1:4">
      <c r="A1713" s="17"/>
      <c r="B1713" s="17"/>
      <c r="C1713" s="56"/>
      <c r="D1713" s="51"/>
    </row>
    <row r="1714" spans="1:4">
      <c r="A1714" s="17"/>
      <c r="B1714" s="17"/>
      <c r="C1714" s="56"/>
      <c r="D1714" s="51"/>
    </row>
    <row r="1715" spans="1:4">
      <c r="A1715" s="17"/>
      <c r="B1715" s="17"/>
      <c r="C1715" s="56"/>
      <c r="D1715" s="51"/>
    </row>
    <row r="1716" spans="1:4">
      <c r="A1716" s="17"/>
      <c r="B1716" s="17"/>
      <c r="C1716" s="56"/>
      <c r="D1716" s="51"/>
    </row>
    <row r="1717" spans="1:4">
      <c r="A1717" s="17"/>
      <c r="B1717" s="17"/>
      <c r="C1717" s="56"/>
      <c r="D1717" s="51"/>
    </row>
    <row r="1718" spans="1:4">
      <c r="A1718" s="17"/>
      <c r="B1718" s="17"/>
      <c r="C1718" s="56"/>
      <c r="D1718" s="51"/>
    </row>
    <row r="1719" spans="1:4">
      <c r="A1719" s="17"/>
      <c r="B1719" s="17"/>
      <c r="C1719" s="56"/>
      <c r="D1719" s="51"/>
    </row>
    <row r="1720" spans="1:4">
      <c r="A1720" s="17"/>
      <c r="B1720" s="17"/>
      <c r="C1720" s="56"/>
      <c r="D1720" s="51"/>
    </row>
    <row r="1721" spans="1:4">
      <c r="A1721" s="17"/>
      <c r="B1721" s="17"/>
      <c r="C1721" s="56"/>
      <c r="D1721" s="51"/>
    </row>
    <row r="1722" spans="1:4">
      <c r="A1722" s="17"/>
      <c r="B1722" s="17"/>
      <c r="C1722" s="56"/>
      <c r="D1722" s="51"/>
    </row>
    <row r="1723" spans="1:4">
      <c r="A1723" s="17"/>
      <c r="B1723" s="17"/>
      <c r="C1723" s="56"/>
      <c r="D1723" s="51"/>
    </row>
    <row r="1724" spans="1:4">
      <c r="A1724" s="17"/>
      <c r="B1724" s="17"/>
      <c r="C1724" s="56"/>
      <c r="D1724" s="51"/>
    </row>
    <row r="1725" spans="1:4">
      <c r="A1725" s="17"/>
      <c r="B1725" s="17"/>
      <c r="C1725" s="56"/>
      <c r="D1725" s="51"/>
    </row>
    <row r="1726" spans="1:4">
      <c r="A1726" s="17"/>
      <c r="B1726" s="17"/>
      <c r="C1726" s="56"/>
      <c r="D1726" s="51"/>
    </row>
    <row r="1727" spans="1:4">
      <c r="A1727" s="17"/>
      <c r="B1727" s="17"/>
      <c r="C1727" s="56"/>
      <c r="D1727" s="51"/>
    </row>
    <row r="1728" spans="1:4">
      <c r="A1728" s="17"/>
      <c r="B1728" s="17"/>
      <c r="C1728" s="56"/>
      <c r="D1728" s="51"/>
    </row>
    <row r="1729" spans="1:4">
      <c r="A1729" s="17"/>
      <c r="B1729" s="17"/>
      <c r="C1729" s="56"/>
      <c r="D1729" s="51"/>
    </row>
    <row r="1730" spans="1:4">
      <c r="A1730" s="17"/>
      <c r="B1730" s="17"/>
      <c r="C1730" s="56"/>
      <c r="D1730" s="51"/>
    </row>
    <row r="1731" spans="1:4">
      <c r="A1731" s="17"/>
      <c r="B1731" s="17"/>
      <c r="C1731" s="56"/>
      <c r="D1731" s="51"/>
    </row>
    <row r="1732" spans="1:4">
      <c r="A1732" s="17"/>
      <c r="B1732" s="17"/>
      <c r="C1732" s="56"/>
      <c r="D1732" s="51"/>
    </row>
    <row r="1733" spans="1:4">
      <c r="A1733" s="17"/>
      <c r="B1733" s="17"/>
      <c r="C1733" s="56"/>
      <c r="D1733" s="51"/>
    </row>
    <row r="1734" spans="1:4">
      <c r="A1734" s="17"/>
      <c r="B1734" s="17"/>
      <c r="C1734" s="56"/>
      <c r="D1734" s="51"/>
    </row>
    <row r="1735" spans="1:4">
      <c r="A1735" s="17"/>
      <c r="B1735" s="17"/>
      <c r="C1735" s="56"/>
      <c r="D1735" s="51"/>
    </row>
    <row r="1736" spans="1:4">
      <c r="A1736" s="17"/>
      <c r="B1736" s="17"/>
      <c r="C1736" s="56"/>
      <c r="D1736" s="51"/>
    </row>
    <row r="1737" spans="1:4">
      <c r="A1737" s="17"/>
      <c r="B1737" s="17"/>
      <c r="C1737" s="56"/>
      <c r="D1737" s="51"/>
    </row>
    <row r="1738" spans="1:4">
      <c r="A1738" s="17"/>
      <c r="B1738" s="17"/>
      <c r="C1738" s="56"/>
      <c r="D1738" s="51"/>
    </row>
    <row r="1739" spans="1:4">
      <c r="A1739" s="17"/>
      <c r="B1739" s="17"/>
      <c r="C1739" s="56"/>
      <c r="D1739" s="51"/>
    </row>
    <row r="1740" spans="1:4">
      <c r="A1740" s="17"/>
      <c r="B1740" s="17"/>
      <c r="C1740" s="56"/>
      <c r="D1740" s="51"/>
    </row>
    <row r="1741" spans="1:4">
      <c r="A1741" s="17"/>
      <c r="B1741" s="17"/>
      <c r="C1741" s="56"/>
      <c r="D1741" s="51"/>
    </row>
    <row r="1742" spans="1:4">
      <c r="A1742" s="17"/>
      <c r="B1742" s="17"/>
      <c r="C1742" s="56"/>
      <c r="D1742" s="51"/>
    </row>
    <row r="1743" spans="1:4">
      <c r="A1743" s="17"/>
      <c r="B1743" s="17"/>
      <c r="C1743" s="56"/>
      <c r="D1743" s="51"/>
    </row>
    <row r="1744" spans="1:4">
      <c r="A1744" s="17"/>
      <c r="B1744" s="17"/>
      <c r="C1744" s="56"/>
      <c r="D1744" s="51"/>
    </row>
    <row r="1745" spans="1:4">
      <c r="A1745" s="17"/>
      <c r="B1745" s="17"/>
      <c r="C1745" s="56"/>
      <c r="D1745" s="51"/>
    </row>
    <row r="1746" spans="1:4">
      <c r="A1746" s="17"/>
      <c r="B1746" s="17"/>
      <c r="C1746" s="56"/>
      <c r="D1746" s="51"/>
    </row>
    <row r="1747" spans="1:4">
      <c r="A1747" s="17"/>
      <c r="B1747" s="17"/>
      <c r="C1747" s="56"/>
      <c r="D1747" s="51"/>
    </row>
    <row r="1748" spans="1:4">
      <c r="A1748" s="17"/>
      <c r="B1748" s="17"/>
      <c r="C1748" s="56"/>
      <c r="D1748" s="51"/>
    </row>
    <row r="1749" spans="1:4">
      <c r="A1749" s="17"/>
      <c r="B1749" s="17"/>
      <c r="C1749" s="56"/>
      <c r="D1749" s="51"/>
    </row>
    <row r="1750" spans="1:4">
      <c r="A1750" s="17"/>
      <c r="B1750" s="17"/>
      <c r="C1750" s="56"/>
      <c r="D1750" s="51"/>
    </row>
    <row r="1751" spans="1:4">
      <c r="A1751" s="17"/>
      <c r="B1751" s="17"/>
      <c r="C1751" s="56"/>
      <c r="D1751" s="51"/>
    </row>
    <row r="1752" spans="1:4">
      <c r="A1752" s="17"/>
      <c r="B1752" s="17"/>
      <c r="C1752" s="56"/>
      <c r="D1752" s="51"/>
    </row>
    <row r="1753" spans="1:4">
      <c r="A1753" s="17"/>
      <c r="B1753" s="17"/>
      <c r="C1753" s="56"/>
      <c r="D1753" s="51"/>
    </row>
    <row r="1754" spans="1:4">
      <c r="A1754" s="17"/>
      <c r="B1754" s="17"/>
      <c r="C1754" s="56"/>
      <c r="D1754" s="51"/>
    </row>
    <row r="1755" spans="1:4">
      <c r="A1755" s="17"/>
      <c r="B1755" s="17"/>
      <c r="C1755" s="56"/>
      <c r="D1755" s="51"/>
    </row>
    <row r="1756" spans="1:4">
      <c r="A1756" s="17"/>
      <c r="B1756" s="17"/>
      <c r="C1756" s="56"/>
      <c r="D1756" s="51"/>
    </row>
    <row r="1757" spans="1:4">
      <c r="A1757" s="17"/>
      <c r="B1757" s="17"/>
      <c r="C1757" s="56"/>
      <c r="D1757" s="51"/>
    </row>
    <row r="1758" spans="1:4">
      <c r="A1758" s="17"/>
      <c r="B1758" s="17"/>
      <c r="C1758" s="56"/>
      <c r="D1758" s="51"/>
    </row>
    <row r="1759" spans="1:4">
      <c r="A1759" s="17"/>
      <c r="B1759" s="17"/>
      <c r="C1759" s="56"/>
      <c r="D1759" s="51"/>
    </row>
    <row r="1760" spans="1:4">
      <c r="A1760" s="17"/>
      <c r="B1760" s="17"/>
      <c r="C1760" s="56"/>
      <c r="D1760" s="51"/>
    </row>
    <row r="1761" spans="1:4">
      <c r="A1761" s="17"/>
      <c r="B1761" s="17"/>
      <c r="C1761" s="56"/>
      <c r="D1761" s="51"/>
    </row>
    <row r="1762" spans="1:4">
      <c r="A1762" s="17"/>
      <c r="B1762" s="17"/>
      <c r="C1762" s="56"/>
      <c r="D1762" s="51"/>
    </row>
    <row r="1763" spans="1:4">
      <c r="A1763" s="17"/>
      <c r="B1763" s="17"/>
      <c r="C1763" s="56"/>
      <c r="D1763" s="51"/>
    </row>
    <row r="1764" spans="1:4">
      <c r="A1764" s="17"/>
      <c r="B1764" s="17"/>
      <c r="C1764" s="56"/>
      <c r="D1764" s="51"/>
    </row>
    <row r="1765" spans="1:4">
      <c r="A1765" s="17"/>
      <c r="B1765" s="17"/>
      <c r="C1765" s="56"/>
      <c r="D1765" s="51"/>
    </row>
    <row r="1766" spans="1:4">
      <c r="A1766" s="17"/>
      <c r="B1766" s="17"/>
      <c r="C1766" s="56"/>
      <c r="D1766" s="51"/>
    </row>
    <row r="1767" spans="1:4">
      <c r="A1767" s="17"/>
      <c r="B1767" s="17"/>
      <c r="C1767" s="56"/>
      <c r="D1767" s="51"/>
    </row>
    <row r="1768" spans="1:4">
      <c r="A1768" s="17"/>
      <c r="B1768" s="17"/>
      <c r="C1768" s="56"/>
      <c r="D1768" s="51"/>
    </row>
    <row r="1769" spans="1:4">
      <c r="A1769" s="17"/>
      <c r="B1769" s="17"/>
      <c r="C1769" s="56"/>
      <c r="D1769" s="51"/>
    </row>
    <row r="1770" spans="1:4">
      <c r="A1770" s="17"/>
      <c r="B1770" s="17"/>
      <c r="C1770" s="56"/>
      <c r="D1770" s="51"/>
    </row>
    <row r="1771" spans="1:4">
      <c r="A1771" s="17"/>
      <c r="B1771" s="17"/>
      <c r="C1771" s="56"/>
      <c r="D1771" s="51"/>
    </row>
    <row r="1772" spans="1:4">
      <c r="A1772" s="17"/>
      <c r="B1772" s="17"/>
      <c r="C1772" s="56"/>
      <c r="D1772" s="51"/>
    </row>
    <row r="1773" spans="1:4">
      <c r="A1773" s="17"/>
      <c r="B1773" s="17"/>
      <c r="C1773" s="56"/>
      <c r="D1773" s="51"/>
    </row>
    <row r="1774" spans="1:4">
      <c r="A1774" s="17"/>
      <c r="B1774" s="17"/>
      <c r="C1774" s="56"/>
      <c r="D1774" s="51"/>
    </row>
    <row r="1775" spans="1:4">
      <c r="A1775" s="17"/>
      <c r="B1775" s="17"/>
      <c r="C1775" s="56"/>
      <c r="D1775" s="51"/>
    </row>
    <row r="1776" spans="1:4">
      <c r="A1776" s="17"/>
      <c r="B1776" s="17"/>
      <c r="C1776" s="56"/>
      <c r="D1776" s="51"/>
    </row>
    <row r="1777" spans="1:4">
      <c r="A1777" s="17"/>
      <c r="B1777" s="17"/>
      <c r="C1777" s="56"/>
      <c r="D1777" s="51"/>
    </row>
    <row r="1778" spans="1:4">
      <c r="A1778" s="17"/>
      <c r="B1778" s="17"/>
      <c r="C1778" s="56"/>
      <c r="D1778" s="51"/>
    </row>
    <row r="1779" spans="1:4">
      <c r="A1779" s="17"/>
      <c r="B1779" s="17"/>
      <c r="C1779" s="56"/>
      <c r="D1779" s="51"/>
    </row>
    <row r="1780" spans="1:4">
      <c r="A1780" s="17"/>
      <c r="B1780" s="17"/>
      <c r="C1780" s="56"/>
      <c r="D1780" s="51"/>
    </row>
    <row r="1781" spans="1:4">
      <c r="A1781" s="17"/>
      <c r="B1781" s="17"/>
      <c r="C1781" s="56"/>
      <c r="D1781" s="51"/>
    </row>
    <row r="1782" spans="1:4">
      <c r="A1782" s="17"/>
      <c r="B1782" s="17"/>
      <c r="C1782" s="56"/>
      <c r="D1782" s="51"/>
    </row>
    <row r="1783" spans="1:4">
      <c r="A1783" s="17"/>
      <c r="B1783" s="17"/>
      <c r="C1783" s="56"/>
      <c r="D1783" s="51"/>
    </row>
    <row r="1784" spans="1:4">
      <c r="A1784" s="17"/>
      <c r="B1784" s="17"/>
      <c r="C1784" s="56"/>
      <c r="D1784" s="51"/>
    </row>
    <row r="1785" spans="1:4">
      <c r="A1785" s="17"/>
      <c r="B1785" s="17"/>
      <c r="C1785" s="56"/>
      <c r="D1785" s="51"/>
    </row>
    <row r="1786" spans="1:4">
      <c r="A1786" s="17"/>
      <c r="B1786" s="17"/>
      <c r="C1786" s="56"/>
      <c r="D1786" s="51"/>
    </row>
    <row r="1787" spans="1:4">
      <c r="A1787" s="17"/>
      <c r="B1787" s="17"/>
      <c r="C1787" s="56"/>
      <c r="D1787" s="51"/>
    </row>
    <row r="1788" spans="1:4">
      <c r="A1788" s="17"/>
      <c r="B1788" s="17"/>
      <c r="C1788" s="56"/>
      <c r="D1788" s="51"/>
    </row>
    <row r="1789" spans="1:4">
      <c r="A1789" s="17"/>
      <c r="B1789" s="17"/>
      <c r="C1789" s="56"/>
      <c r="D1789" s="51"/>
    </row>
    <row r="1790" spans="1:4">
      <c r="A1790" s="17"/>
      <c r="B1790" s="17"/>
      <c r="C1790" s="56"/>
      <c r="D1790" s="51"/>
    </row>
    <row r="1791" spans="1:4">
      <c r="A1791" s="17"/>
      <c r="B1791" s="17"/>
      <c r="C1791" s="56"/>
      <c r="D1791" s="51"/>
    </row>
    <row r="1792" spans="1:4">
      <c r="A1792" s="17"/>
      <c r="B1792" s="17"/>
      <c r="C1792" s="56"/>
      <c r="D1792" s="51"/>
    </row>
    <row r="1793" spans="1:4">
      <c r="A1793" s="17"/>
      <c r="B1793" s="17"/>
      <c r="C1793" s="56"/>
      <c r="D1793" s="51"/>
    </row>
    <row r="1794" spans="1:4">
      <c r="A1794" s="17"/>
      <c r="B1794" s="17"/>
      <c r="C1794" s="56"/>
      <c r="D1794" s="51"/>
    </row>
    <row r="1795" spans="1:4">
      <c r="A1795" s="17"/>
      <c r="B1795" s="17"/>
      <c r="C1795" s="56"/>
      <c r="D1795" s="51"/>
    </row>
    <row r="1796" spans="1:4">
      <c r="A1796" s="17"/>
      <c r="B1796" s="17"/>
      <c r="C1796" s="56"/>
      <c r="D1796" s="51"/>
    </row>
    <row r="1797" spans="1:4">
      <c r="A1797" s="17"/>
      <c r="B1797" s="17"/>
      <c r="C1797" s="56"/>
      <c r="D1797" s="51"/>
    </row>
    <row r="1798" spans="1:4">
      <c r="A1798" s="17"/>
      <c r="B1798" s="17"/>
      <c r="C1798" s="56"/>
      <c r="D1798" s="51"/>
    </row>
    <row r="1799" spans="1:4">
      <c r="A1799" s="17"/>
      <c r="B1799" s="17"/>
      <c r="C1799" s="56"/>
      <c r="D1799" s="51"/>
    </row>
    <row r="1800" spans="1:4">
      <c r="A1800" s="17"/>
      <c r="B1800" s="17"/>
      <c r="C1800" s="56"/>
      <c r="D1800" s="51"/>
    </row>
    <row r="1801" spans="1:4">
      <c r="A1801" s="17"/>
      <c r="B1801" s="17"/>
      <c r="C1801" s="56"/>
      <c r="D1801" s="51"/>
    </row>
    <row r="1802" spans="1:4">
      <c r="A1802" s="17"/>
      <c r="B1802" s="17"/>
      <c r="C1802" s="56"/>
      <c r="D1802" s="51"/>
    </row>
    <row r="1803" spans="1:4">
      <c r="A1803" s="17"/>
      <c r="B1803" s="17"/>
      <c r="C1803" s="56"/>
      <c r="D1803" s="51"/>
    </row>
    <row r="1804" spans="1:4">
      <c r="A1804" s="17"/>
      <c r="B1804" s="17"/>
      <c r="C1804" s="56"/>
      <c r="D1804" s="51"/>
    </row>
    <row r="1805" spans="1:4">
      <c r="A1805" s="17"/>
      <c r="B1805" s="17"/>
      <c r="C1805" s="56"/>
      <c r="D1805" s="51"/>
    </row>
    <row r="1806" spans="1:4">
      <c r="B1806" s="17"/>
      <c r="C1806" s="56"/>
      <c r="D1806" s="51"/>
    </row>
    <row r="1807" spans="1:4">
      <c r="B1807" s="17"/>
      <c r="C1807" s="56"/>
      <c r="D1807" s="51"/>
    </row>
    <row r="1808" spans="1:4">
      <c r="B1808" s="17"/>
      <c r="C1808" s="56"/>
      <c r="D1808" s="51"/>
    </row>
    <row r="1809" spans="2:4">
      <c r="B1809" s="17"/>
      <c r="C1809" s="56"/>
      <c r="D1809" s="51"/>
    </row>
    <row r="1810" spans="2:4">
      <c r="B1810" s="17"/>
      <c r="C1810" s="56"/>
      <c r="D1810" s="51"/>
    </row>
    <row r="1811" spans="2:4">
      <c r="B1811" s="17"/>
      <c r="C1811" s="56"/>
    </row>
    <row r="1812" spans="2:4">
      <c r="B1812" s="17"/>
      <c r="C1812" s="56"/>
    </row>
    <row r="1813" spans="2:4">
      <c r="B1813" s="17"/>
      <c r="C1813" s="56"/>
    </row>
    <row r="1814" spans="2:4">
      <c r="B1814" s="17"/>
      <c r="C1814" s="56"/>
    </row>
    <row r="1815" spans="2:4">
      <c r="B1815" s="17"/>
      <c r="C1815" s="56"/>
    </row>
    <row r="1816" spans="2:4">
      <c r="B1816" s="17"/>
      <c r="C1816" s="56"/>
    </row>
    <row r="1817" spans="2:4">
      <c r="B1817" s="17"/>
      <c r="C1817" s="56"/>
    </row>
    <row r="1818" spans="2:4">
      <c r="B1818" s="17"/>
      <c r="C1818" s="56"/>
    </row>
    <row r="1819" spans="2:4">
      <c r="B1819" s="17"/>
      <c r="C1819" s="56"/>
    </row>
    <row r="1820" spans="2:4">
      <c r="B1820" s="17"/>
      <c r="C1820" s="56"/>
    </row>
    <row r="1821" spans="2:4">
      <c r="B1821" s="17"/>
      <c r="C1821" s="56"/>
    </row>
    <row r="1822" spans="2:4">
      <c r="B1822" s="17"/>
      <c r="C1822" s="56"/>
    </row>
    <row r="1823" spans="2:4">
      <c r="B1823" s="17"/>
      <c r="C1823" s="56"/>
    </row>
    <row r="1824" spans="2:4">
      <c r="B1824" s="17"/>
      <c r="C1824" s="56"/>
    </row>
    <row r="1825" spans="2:3">
      <c r="B1825" s="17"/>
      <c r="C1825" s="56"/>
    </row>
    <row r="1826" spans="2:3">
      <c r="B1826" s="17"/>
      <c r="C1826" s="56"/>
    </row>
    <row r="1827" spans="2:3">
      <c r="B1827" s="17"/>
      <c r="C1827" s="56"/>
    </row>
    <row r="1828" spans="2:3">
      <c r="B1828" s="17"/>
      <c r="C1828" s="56"/>
    </row>
    <row r="1829" spans="2:3">
      <c r="B1829" s="17"/>
      <c r="C1829" s="56"/>
    </row>
    <row r="1830" spans="2:3">
      <c r="B1830" s="17"/>
      <c r="C1830" s="56"/>
    </row>
    <row r="1831" spans="2:3">
      <c r="B1831" s="17"/>
      <c r="C1831" s="56"/>
    </row>
    <row r="1832" spans="2:3">
      <c r="B1832" s="17"/>
      <c r="C1832" s="56"/>
    </row>
    <row r="1833" spans="2:3">
      <c r="B1833" s="17"/>
      <c r="C1833" s="56"/>
    </row>
    <row r="1834" spans="2:3">
      <c r="B1834" s="17"/>
      <c r="C1834" s="56"/>
    </row>
    <row r="1835" spans="2:3">
      <c r="B1835" s="17"/>
      <c r="C1835" s="56"/>
    </row>
    <row r="1836" spans="2:3">
      <c r="B1836" s="17"/>
      <c r="C1836" s="56"/>
    </row>
    <row r="1837" spans="2:3">
      <c r="B1837" s="17"/>
      <c r="C1837" s="56"/>
    </row>
    <row r="1838" spans="2:3">
      <c r="B1838" s="17"/>
      <c r="C1838" s="56"/>
    </row>
    <row r="1839" spans="2:3">
      <c r="B1839" s="17"/>
      <c r="C1839" s="56"/>
    </row>
    <row r="1840" spans="2:3">
      <c r="B1840" s="17"/>
      <c r="C1840" s="56"/>
    </row>
    <row r="1841" spans="2:3">
      <c r="B1841" s="17"/>
      <c r="C1841" s="56"/>
    </row>
    <row r="1842" spans="2:3">
      <c r="B1842" s="17"/>
      <c r="C1842" s="56"/>
    </row>
    <row r="1843" spans="2:3">
      <c r="B1843" s="17"/>
      <c r="C1843" s="56"/>
    </row>
    <row r="1844" spans="2:3">
      <c r="B1844" s="17"/>
      <c r="C1844" s="56"/>
    </row>
    <row r="1845" spans="2:3">
      <c r="B1845" s="17"/>
      <c r="C1845" s="56"/>
    </row>
    <row r="1846" spans="2:3">
      <c r="B1846" s="17"/>
      <c r="C1846" s="56"/>
    </row>
    <row r="1847" spans="2:3">
      <c r="B1847" s="17"/>
      <c r="C1847" s="56"/>
    </row>
    <row r="1848" spans="2:3">
      <c r="B1848" s="17"/>
      <c r="C1848" s="56"/>
    </row>
    <row r="1849" spans="2:3">
      <c r="B1849" s="17"/>
      <c r="C1849" s="56"/>
    </row>
    <row r="1850" spans="2:3">
      <c r="B1850" s="17"/>
      <c r="C1850" s="56"/>
    </row>
    <row r="1851" spans="2:3">
      <c r="B1851" s="17"/>
      <c r="C1851" s="56"/>
    </row>
    <row r="1852" spans="2:3">
      <c r="B1852" s="17"/>
      <c r="C1852" s="56"/>
    </row>
    <row r="1853" spans="2:3">
      <c r="B1853" s="17"/>
      <c r="C1853" s="56"/>
    </row>
    <row r="1854" spans="2:3">
      <c r="B1854" s="17"/>
      <c r="C1854" s="56"/>
    </row>
    <row r="1855" spans="2:3">
      <c r="B1855" s="17"/>
      <c r="C1855" s="56"/>
    </row>
    <row r="1856" spans="2:3">
      <c r="B1856" s="17"/>
      <c r="C1856" s="56"/>
    </row>
    <row r="1857" spans="2:3">
      <c r="B1857" s="17"/>
      <c r="C1857" s="56"/>
    </row>
    <row r="1858" spans="2:3">
      <c r="B1858" s="17"/>
      <c r="C1858" s="56"/>
    </row>
    <row r="1859" spans="2:3">
      <c r="B1859" s="17"/>
      <c r="C1859" s="56"/>
    </row>
    <row r="1860" spans="2:3">
      <c r="B1860" s="17"/>
      <c r="C1860" s="56"/>
    </row>
    <row r="1861" spans="2:3">
      <c r="B1861" s="17"/>
      <c r="C1861" s="56"/>
    </row>
    <row r="1862" spans="2:3">
      <c r="B1862" s="17"/>
    </row>
    <row r="1863" spans="2:3">
      <c r="B1863" s="17"/>
    </row>
    <row r="1864" spans="2:3">
      <c r="B1864" s="17"/>
    </row>
    <row r="1865" spans="2:3">
      <c r="B1865" s="17"/>
    </row>
    <row r="1866" spans="2:3">
      <c r="B1866" s="17"/>
    </row>
    <row r="1867" spans="2:3">
      <c r="B1867" s="17"/>
    </row>
    <row r="1868" spans="2:3">
      <c r="B1868" s="17"/>
    </row>
    <row r="1869" spans="2:3">
      <c r="B1869" s="17"/>
    </row>
    <row r="1870" spans="2:3">
      <c r="B1870" s="17"/>
    </row>
    <row r="1871" spans="2:3">
      <c r="B1871" s="17"/>
    </row>
    <row r="1872" spans="2:3">
      <c r="B1872" s="17"/>
    </row>
    <row r="1873" spans="2:2">
      <c r="B1873" s="17"/>
    </row>
    <row r="1874" spans="2:2">
      <c r="B1874" s="17"/>
    </row>
    <row r="1875" spans="2:2">
      <c r="B1875" s="17"/>
    </row>
    <row r="1876" spans="2:2">
      <c r="B1876" s="17"/>
    </row>
    <row r="1877" spans="2:2">
      <c r="B1877" s="17"/>
    </row>
    <row r="1878" spans="2:2">
      <c r="B1878" s="17"/>
    </row>
    <row r="1879" spans="2:2">
      <c r="B1879" s="17"/>
    </row>
    <row r="1880" spans="2:2">
      <c r="B1880" s="17"/>
    </row>
    <row r="1881" spans="2:2">
      <c r="B1881" s="17"/>
    </row>
    <row r="1882" spans="2:2">
      <c r="B1882" s="17"/>
    </row>
    <row r="1883" spans="2:2">
      <c r="B1883" s="17"/>
    </row>
    <row r="1884" spans="2:2">
      <c r="B1884" s="17"/>
    </row>
    <row r="1885" spans="2:2">
      <c r="B1885" s="17"/>
    </row>
    <row r="1886" spans="2:2">
      <c r="B1886" s="17"/>
    </row>
    <row r="1887" spans="2:2">
      <c r="B1887" s="17"/>
    </row>
    <row r="1888" spans="2:2">
      <c r="B1888" s="17"/>
    </row>
    <row r="1889" spans="2:2">
      <c r="B1889" s="17"/>
    </row>
    <row r="1890" spans="2:2">
      <c r="B1890" s="17"/>
    </row>
  </sheetData>
  <mergeCells count="3">
    <mergeCell ref="A1428:D1428"/>
    <mergeCell ref="A1429:D1429"/>
    <mergeCell ref="A1430:D1430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E6" sqref="E6"/>
    </sheetView>
  </sheetViews>
  <sheetFormatPr defaultRowHeight="14.4"/>
  <cols>
    <col min="1" max="1" width="12.88671875" customWidth="1"/>
    <col min="2" max="2" width="65.5546875" customWidth="1"/>
  </cols>
  <sheetData>
    <row r="1" spans="1:4">
      <c r="A1" s="14"/>
      <c r="B1" s="30" t="s">
        <v>367</v>
      </c>
      <c r="C1" s="61"/>
      <c r="D1" s="51"/>
    </row>
    <row r="2" spans="1:4">
      <c r="A2" s="14" t="s">
        <v>383</v>
      </c>
      <c r="B2" s="15" t="s">
        <v>379</v>
      </c>
      <c r="C2" s="61">
        <f t="shared" ref="C2:C10" si="0">D2*курс_рубля</f>
        <v>5114.3119266055046</v>
      </c>
      <c r="D2" s="51">
        <v>897.24770642201827</v>
      </c>
    </row>
    <row r="3" spans="1:4">
      <c r="A3" s="14" t="s">
        <v>384</v>
      </c>
      <c r="B3" s="15" t="s">
        <v>380</v>
      </c>
      <c r="C3" s="61">
        <f t="shared" si="0"/>
        <v>6892.2935779816517</v>
      </c>
      <c r="D3" s="51">
        <v>1209.1743119266055</v>
      </c>
    </row>
    <row r="4" spans="1:4">
      <c r="A4" s="14" t="s">
        <v>385</v>
      </c>
      <c r="B4" s="15" t="s">
        <v>381</v>
      </c>
      <c r="C4" s="61">
        <f t="shared" si="0"/>
        <v>12017.064220183485</v>
      </c>
      <c r="D4" s="51">
        <v>2108.2568807339449</v>
      </c>
    </row>
    <row r="5" spans="1:4">
      <c r="A5" s="14" t="s">
        <v>386</v>
      </c>
      <c r="B5" s="15" t="s">
        <v>368</v>
      </c>
      <c r="C5" s="61">
        <f t="shared" si="0"/>
        <v>14108.80733944954</v>
      </c>
      <c r="D5" s="51">
        <v>2475.229357798165</v>
      </c>
    </row>
    <row r="6" spans="1:4">
      <c r="A6" s="14" t="s">
        <v>387</v>
      </c>
      <c r="B6" s="15" t="s">
        <v>369</v>
      </c>
      <c r="C6" s="61">
        <f t="shared" si="0"/>
        <v>14108.80733944954</v>
      </c>
      <c r="D6" s="51">
        <v>2475.229357798165</v>
      </c>
    </row>
    <row r="7" spans="1:4">
      <c r="A7" s="14" t="s">
        <v>388</v>
      </c>
      <c r="B7" s="15" t="s">
        <v>382</v>
      </c>
      <c r="C7" s="61">
        <f t="shared" si="0"/>
        <v>15677.614678899081</v>
      </c>
      <c r="D7" s="51">
        <v>2750.45871559633</v>
      </c>
    </row>
    <row r="8" spans="1:4">
      <c r="A8" s="14" t="s">
        <v>389</v>
      </c>
      <c r="B8" s="15" t="s">
        <v>370</v>
      </c>
      <c r="C8" s="61">
        <f t="shared" si="0"/>
        <v>24776.697247706419</v>
      </c>
      <c r="D8" s="51">
        <v>4346.7889908256875</v>
      </c>
    </row>
    <row r="9" spans="1:4">
      <c r="A9" s="14" t="s">
        <v>390</v>
      </c>
      <c r="B9" s="15" t="s">
        <v>371</v>
      </c>
      <c r="C9" s="61">
        <f t="shared" si="0"/>
        <v>15677.614678899081</v>
      </c>
      <c r="D9" s="51">
        <v>2750.45871559633</v>
      </c>
    </row>
    <row r="10" spans="1:4">
      <c r="A10" s="14" t="s">
        <v>391</v>
      </c>
      <c r="B10" s="15" t="s">
        <v>372</v>
      </c>
      <c r="C10" s="61">
        <f t="shared" si="0"/>
        <v>23521.65137614679</v>
      </c>
      <c r="D10" s="51">
        <v>4126.6055045871562</v>
      </c>
    </row>
    <row r="11" spans="1:4">
      <c r="A11" s="14"/>
      <c r="B11" s="166" t="s">
        <v>2654</v>
      </c>
      <c r="C11" s="61"/>
      <c r="D11" s="51"/>
    </row>
    <row r="12" spans="1:4" ht="57.6">
      <c r="A12" s="14" t="s">
        <v>185</v>
      </c>
      <c r="B12" s="21" t="s">
        <v>710</v>
      </c>
      <c r="C12" s="61">
        <f>D12*курс_рубля</f>
        <v>36138</v>
      </c>
      <c r="D12" s="51">
        <v>6340</v>
      </c>
    </row>
    <row r="13" spans="1:4" ht="72">
      <c r="A13" s="14" t="s">
        <v>690</v>
      </c>
      <c r="B13" s="21" t="s">
        <v>711</v>
      </c>
      <c r="C13" s="61">
        <f>D13*курс_рубля</f>
        <v>51471</v>
      </c>
      <c r="D13" s="51">
        <v>9030</v>
      </c>
    </row>
    <row r="14" spans="1:4" ht="43.2">
      <c r="A14" s="14" t="s">
        <v>691</v>
      </c>
      <c r="B14" s="21" t="s">
        <v>712</v>
      </c>
      <c r="C14" s="61">
        <f>D14*курс_рубля</f>
        <v>37620</v>
      </c>
      <c r="D14" s="51">
        <v>6600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opLeftCell="A7" workbookViewId="0">
      <selection activeCell="B32" sqref="B32"/>
    </sheetView>
  </sheetViews>
  <sheetFormatPr defaultRowHeight="14.4"/>
  <cols>
    <col min="1" max="1" width="18" customWidth="1"/>
    <col min="2" max="2" width="68.5546875" customWidth="1"/>
  </cols>
  <sheetData>
    <row r="1" spans="1:4">
      <c r="A1" s="6"/>
      <c r="B1" s="28" t="s">
        <v>2354</v>
      </c>
      <c r="C1" s="61"/>
      <c r="D1" s="51"/>
    </row>
    <row r="2" spans="1:4" ht="72">
      <c r="A2" s="14" t="s">
        <v>679</v>
      </c>
      <c r="B2" s="21" t="s">
        <v>698</v>
      </c>
      <c r="C2" s="61">
        <f>D2*курс_рубля</f>
        <v>26790</v>
      </c>
      <c r="D2" s="51">
        <v>4700</v>
      </c>
    </row>
    <row r="3" spans="1:4" ht="72">
      <c r="A3" s="14" t="s">
        <v>680</v>
      </c>
      <c r="B3" s="21" t="s">
        <v>699</v>
      </c>
      <c r="C3" s="61">
        <f>D3*курс_рубля</f>
        <v>52098</v>
      </c>
      <c r="D3" s="51">
        <v>9140</v>
      </c>
    </row>
    <row r="4" spans="1:4" ht="100.8">
      <c r="A4" s="14" t="s">
        <v>681</v>
      </c>
      <c r="B4" s="21" t="s">
        <v>700</v>
      </c>
      <c r="C4" s="61">
        <f>D4*курс_рубля</f>
        <v>79173</v>
      </c>
      <c r="D4" s="51">
        <v>13890</v>
      </c>
    </row>
    <row r="5" spans="1:4">
      <c r="A5" s="14" t="s">
        <v>682</v>
      </c>
      <c r="B5" s="21" t="s">
        <v>701</v>
      </c>
      <c r="C5" s="61">
        <f>D5*курс_рубля</f>
        <v>35112</v>
      </c>
      <c r="D5" s="51">
        <v>6160</v>
      </c>
    </row>
    <row r="6" spans="1:4" ht="15.6">
      <c r="A6" s="19"/>
      <c r="B6" s="35" t="s">
        <v>557</v>
      </c>
      <c r="C6" s="65"/>
      <c r="D6" s="65"/>
    </row>
    <row r="7" spans="1:4">
      <c r="A7" s="17" t="s">
        <v>558</v>
      </c>
      <c r="B7" s="17" t="s">
        <v>807</v>
      </c>
      <c r="C7" s="61">
        <v>30000</v>
      </c>
      <c r="D7" s="53"/>
    </row>
    <row r="8" spans="1:4">
      <c r="A8" s="17" t="s">
        <v>559</v>
      </c>
      <c r="B8" s="17" t="s">
        <v>806</v>
      </c>
      <c r="C8" s="61">
        <v>25000</v>
      </c>
      <c r="D8" s="53"/>
    </row>
    <row r="9" spans="1:4">
      <c r="A9" s="17" t="s">
        <v>560</v>
      </c>
      <c r="B9" s="17" t="s">
        <v>808</v>
      </c>
      <c r="C9" s="61">
        <v>31500</v>
      </c>
      <c r="D9" s="53"/>
    </row>
    <row r="10" spans="1:4">
      <c r="A10" s="17"/>
      <c r="B10" s="42" t="s">
        <v>2359</v>
      </c>
      <c r="C10" s="61"/>
      <c r="D10" s="53"/>
    </row>
    <row r="11" spans="1:4">
      <c r="A11" s="9" t="s">
        <v>621</v>
      </c>
      <c r="B11" s="38" t="s">
        <v>803</v>
      </c>
      <c r="C11" s="61">
        <v>28200</v>
      </c>
      <c r="D11" s="53"/>
    </row>
    <row r="12" spans="1:4">
      <c r="A12" s="9" t="s">
        <v>622</v>
      </c>
      <c r="B12" s="38" t="s">
        <v>804</v>
      </c>
      <c r="C12" s="61">
        <v>40733</v>
      </c>
      <c r="D12" s="53"/>
    </row>
    <row r="13" spans="1:4">
      <c r="A13" s="9" t="s">
        <v>623</v>
      </c>
      <c r="B13" s="38" t="s">
        <v>805</v>
      </c>
      <c r="C13" s="61">
        <v>28200</v>
      </c>
      <c r="D13" s="53"/>
    </row>
    <row r="14" spans="1:4">
      <c r="A14" s="9" t="s">
        <v>624</v>
      </c>
      <c r="B14" s="36" t="s">
        <v>799</v>
      </c>
      <c r="C14" s="61">
        <v>20421</v>
      </c>
      <c r="D14" s="53"/>
    </row>
    <row r="15" spans="1:4">
      <c r="A15" s="9" t="s">
        <v>625</v>
      </c>
      <c r="B15" s="36" t="s">
        <v>800</v>
      </c>
      <c r="C15" s="61">
        <v>32090</v>
      </c>
      <c r="D15" s="53"/>
    </row>
    <row r="16" spans="1:4">
      <c r="A16" s="9" t="s">
        <v>626</v>
      </c>
      <c r="B16" s="37" t="s">
        <v>801</v>
      </c>
      <c r="C16" s="61">
        <v>64179</v>
      </c>
      <c r="D16" s="53"/>
    </row>
    <row r="17" spans="1:4" ht="28.8">
      <c r="A17" s="9" t="s">
        <v>627</v>
      </c>
      <c r="B17" s="37" t="s">
        <v>802</v>
      </c>
      <c r="C17" s="61">
        <v>26255</v>
      </c>
      <c r="D17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topLeftCell="A19" workbookViewId="0">
      <selection activeCell="F41" sqref="F41"/>
    </sheetView>
  </sheetViews>
  <sheetFormatPr defaultRowHeight="14.4"/>
  <cols>
    <col min="1" max="1" width="13.6640625" customWidth="1"/>
    <col min="2" max="2" width="71.44140625" customWidth="1"/>
  </cols>
  <sheetData>
    <row r="1" spans="1:4">
      <c r="A1" s="8"/>
      <c r="B1" s="28" t="s">
        <v>200</v>
      </c>
      <c r="C1" s="61"/>
      <c r="D1" s="51"/>
    </row>
    <row r="2" spans="1:4">
      <c r="A2" s="17" t="s">
        <v>201</v>
      </c>
      <c r="B2" s="26" t="s">
        <v>733</v>
      </c>
      <c r="C2" s="61">
        <f t="shared" ref="C2:C14" si="0">D2*курс_рубля</f>
        <v>36480</v>
      </c>
      <c r="D2" s="51">
        <v>6400</v>
      </c>
    </row>
    <row r="3" spans="1:4">
      <c r="A3" s="17" t="s">
        <v>202</v>
      </c>
      <c r="B3" s="26" t="s">
        <v>734</v>
      </c>
      <c r="C3" s="61">
        <f t="shared" si="0"/>
        <v>26790</v>
      </c>
      <c r="D3" s="51">
        <v>4700</v>
      </c>
    </row>
    <row r="4" spans="1:4">
      <c r="A4" s="17" t="s">
        <v>203</v>
      </c>
      <c r="B4" s="26" t="s">
        <v>735</v>
      </c>
      <c r="C4" s="61">
        <f t="shared" si="0"/>
        <v>47196</v>
      </c>
      <c r="D4" s="51">
        <v>8280</v>
      </c>
    </row>
    <row r="5" spans="1:4">
      <c r="A5" s="17" t="s">
        <v>204</v>
      </c>
      <c r="B5" s="26" t="s">
        <v>736</v>
      </c>
      <c r="C5" s="61">
        <f t="shared" si="0"/>
        <v>54150</v>
      </c>
      <c r="D5" s="51">
        <v>9500</v>
      </c>
    </row>
    <row r="6" spans="1:4">
      <c r="A6" s="17" t="s">
        <v>205</v>
      </c>
      <c r="B6" s="26" t="s">
        <v>737</v>
      </c>
      <c r="C6" s="61">
        <f t="shared" si="0"/>
        <v>117306</v>
      </c>
      <c r="D6" s="51">
        <v>20580</v>
      </c>
    </row>
    <row r="7" spans="1:4">
      <c r="A7" s="17" t="s">
        <v>206</v>
      </c>
      <c r="B7" s="26" t="s">
        <v>738</v>
      </c>
      <c r="C7" s="61">
        <f t="shared" si="0"/>
        <v>232674</v>
      </c>
      <c r="D7" s="51">
        <v>40820</v>
      </c>
    </row>
    <row r="8" spans="1:4" ht="28.8">
      <c r="A8" s="17" t="s">
        <v>692</v>
      </c>
      <c r="B8" s="26" t="s">
        <v>739</v>
      </c>
      <c r="C8" s="61">
        <f t="shared" si="0"/>
        <v>18810</v>
      </c>
      <c r="D8" s="51">
        <v>3300</v>
      </c>
    </row>
    <row r="9" spans="1:4" ht="28.8">
      <c r="A9" s="17" t="s">
        <v>693</v>
      </c>
      <c r="B9" s="26" t="s">
        <v>740</v>
      </c>
      <c r="C9" s="61">
        <f t="shared" si="0"/>
        <v>26220</v>
      </c>
      <c r="D9" s="51">
        <v>4600</v>
      </c>
    </row>
    <row r="10" spans="1:4" ht="28.8">
      <c r="A10" s="17" t="s">
        <v>694</v>
      </c>
      <c r="B10" s="26" t="s">
        <v>741</v>
      </c>
      <c r="C10" s="61">
        <f t="shared" si="0"/>
        <v>51870</v>
      </c>
      <c r="D10" s="51">
        <v>9100</v>
      </c>
    </row>
    <row r="11" spans="1:4" ht="28.8">
      <c r="A11" s="17" t="s">
        <v>695</v>
      </c>
      <c r="B11" s="26" t="s">
        <v>742</v>
      </c>
      <c r="C11" s="61">
        <f t="shared" si="0"/>
        <v>64980</v>
      </c>
      <c r="D11" s="51">
        <v>11400</v>
      </c>
    </row>
    <row r="12" spans="1:4" ht="28.8">
      <c r="A12" s="17" t="s">
        <v>696</v>
      </c>
      <c r="B12" s="26" t="s">
        <v>743</v>
      </c>
      <c r="C12" s="61">
        <f t="shared" si="0"/>
        <v>108300</v>
      </c>
      <c r="D12" s="51">
        <v>19000</v>
      </c>
    </row>
    <row r="13" spans="1:4" ht="28.8">
      <c r="A13" s="17" t="s">
        <v>697</v>
      </c>
      <c r="B13" s="26" t="s">
        <v>744</v>
      </c>
      <c r="C13" s="61">
        <f t="shared" si="0"/>
        <v>37335</v>
      </c>
      <c r="D13" s="51">
        <v>6550</v>
      </c>
    </row>
    <row r="14" spans="1:4">
      <c r="A14" s="14" t="s">
        <v>207</v>
      </c>
      <c r="B14" s="26" t="s">
        <v>745</v>
      </c>
      <c r="C14" s="61">
        <f t="shared" si="0"/>
        <v>58995</v>
      </c>
      <c r="D14" s="51">
        <v>10350</v>
      </c>
    </row>
    <row r="15" spans="1:4" ht="15.6">
      <c r="A15" s="68"/>
      <c r="B15" s="69" t="s">
        <v>209</v>
      </c>
      <c r="C15" s="70"/>
      <c r="D15" s="71"/>
    </row>
    <row r="16" spans="1:4">
      <c r="A16" s="17" t="s">
        <v>279</v>
      </c>
      <c r="B16" s="31" t="s">
        <v>210</v>
      </c>
      <c r="C16" s="62">
        <v>282800</v>
      </c>
      <c r="D16" s="53"/>
    </row>
    <row r="17" spans="1:4">
      <c r="A17" s="17" t="s">
        <v>280</v>
      </c>
      <c r="B17" s="32" t="s">
        <v>211</v>
      </c>
      <c r="C17" s="61">
        <v>226100</v>
      </c>
      <c r="D17" s="53"/>
    </row>
    <row r="18" spans="1:4">
      <c r="A18" s="17" t="s">
        <v>299</v>
      </c>
      <c r="B18" s="32" t="s">
        <v>230</v>
      </c>
      <c r="C18" s="61">
        <v>49000</v>
      </c>
      <c r="D18" s="53"/>
    </row>
    <row r="19" spans="1:4">
      <c r="A19" s="17" t="s">
        <v>281</v>
      </c>
      <c r="B19" s="32" t="s">
        <v>212</v>
      </c>
      <c r="C19" s="61">
        <v>21700</v>
      </c>
      <c r="D19" s="53"/>
    </row>
    <row r="20" spans="1:4">
      <c r="A20" s="17" t="s">
        <v>282</v>
      </c>
      <c r="B20" s="32" t="s">
        <v>213</v>
      </c>
      <c r="C20" s="61">
        <v>24500</v>
      </c>
      <c r="D20" s="53"/>
    </row>
    <row r="21" spans="1:4">
      <c r="A21" s="17" t="s">
        <v>283</v>
      </c>
      <c r="B21" s="32" t="s">
        <v>214</v>
      </c>
      <c r="C21" s="61">
        <v>24500</v>
      </c>
      <c r="D21" s="53"/>
    </row>
    <row r="22" spans="1:4">
      <c r="A22" s="17" t="s">
        <v>284</v>
      </c>
      <c r="B22" s="32" t="s">
        <v>215</v>
      </c>
      <c r="C22" s="61">
        <v>26600</v>
      </c>
      <c r="D22" s="53"/>
    </row>
    <row r="23" spans="1:4">
      <c r="A23" s="17" t="s">
        <v>285</v>
      </c>
      <c r="B23" s="32" t="s">
        <v>216</v>
      </c>
      <c r="C23" s="61">
        <v>40600</v>
      </c>
      <c r="D23" s="53"/>
    </row>
    <row r="24" spans="1:4">
      <c r="A24" s="17" t="s">
        <v>286</v>
      </c>
      <c r="B24" s="32" t="s">
        <v>217</v>
      </c>
      <c r="C24" s="61">
        <v>37100</v>
      </c>
      <c r="D24" s="53"/>
    </row>
    <row r="25" spans="1:4">
      <c r="A25" s="17" t="s">
        <v>287</v>
      </c>
      <c r="B25" s="32" t="s">
        <v>218</v>
      </c>
      <c r="C25" s="61">
        <v>56000</v>
      </c>
      <c r="D25" s="53"/>
    </row>
    <row r="26" spans="1:4">
      <c r="A26" s="17" t="s">
        <v>288</v>
      </c>
      <c r="B26" s="32" t="s">
        <v>219</v>
      </c>
      <c r="C26" s="61">
        <v>65000</v>
      </c>
      <c r="D26" s="53"/>
    </row>
    <row r="27" spans="1:4">
      <c r="A27" s="17" t="s">
        <v>289</v>
      </c>
      <c r="B27" s="32" t="s">
        <v>220</v>
      </c>
      <c r="C27" s="61">
        <v>77700</v>
      </c>
      <c r="D27" s="53"/>
    </row>
    <row r="28" spans="1:4">
      <c r="A28" s="17" t="s">
        <v>290</v>
      </c>
      <c r="B28" s="2" t="s">
        <v>221</v>
      </c>
      <c r="C28" s="63">
        <v>46200</v>
      </c>
      <c r="D28" s="53"/>
    </row>
    <row r="29" spans="1:4">
      <c r="A29" s="17" t="s">
        <v>291</v>
      </c>
      <c r="B29" s="32" t="s">
        <v>222</v>
      </c>
      <c r="C29" s="61">
        <v>50400</v>
      </c>
      <c r="D29" s="53"/>
    </row>
    <row r="30" spans="1:4">
      <c r="A30" s="17" t="s">
        <v>292</v>
      </c>
      <c r="B30" s="32" t="s">
        <v>223</v>
      </c>
      <c r="C30" s="61">
        <v>57400</v>
      </c>
      <c r="D30" s="53"/>
    </row>
    <row r="31" spans="1:4">
      <c r="A31" s="17" t="s">
        <v>293</v>
      </c>
      <c r="B31" s="32" t="s">
        <v>224</v>
      </c>
      <c r="C31" s="61">
        <v>86100</v>
      </c>
      <c r="D31" s="53"/>
    </row>
    <row r="32" spans="1:4">
      <c r="A32" s="17" t="s">
        <v>294</v>
      </c>
      <c r="B32" s="32" t="s">
        <v>225</v>
      </c>
      <c r="C32" s="61">
        <v>117600</v>
      </c>
      <c r="D32" s="53"/>
    </row>
    <row r="33" spans="1:4">
      <c r="A33" s="17"/>
      <c r="B33" s="42" t="s">
        <v>2360</v>
      </c>
      <c r="C33" s="61"/>
      <c r="D33" s="53"/>
    </row>
    <row r="34" spans="1:4">
      <c r="A34" s="22" t="s">
        <v>641</v>
      </c>
      <c r="B34" s="37" t="s">
        <v>819</v>
      </c>
      <c r="C34" s="61">
        <v>20788</v>
      </c>
      <c r="D34" s="53"/>
    </row>
    <row r="35" spans="1:4">
      <c r="A35" s="9" t="s">
        <v>645</v>
      </c>
      <c r="B35" s="40" t="s">
        <v>642</v>
      </c>
      <c r="C35" s="61">
        <v>132000</v>
      </c>
      <c r="D35" s="53"/>
    </row>
    <row r="36" spans="1:4">
      <c r="A36" s="73"/>
      <c r="B36" s="76" t="s">
        <v>1677</v>
      </c>
      <c r="C36" s="74"/>
      <c r="D36" s="75"/>
    </row>
    <row r="37" spans="1:4">
      <c r="A37" s="17" t="s">
        <v>1572</v>
      </c>
      <c r="B37" s="17" t="s">
        <v>1573</v>
      </c>
      <c r="C37" s="56">
        <v>27956.287107953776</v>
      </c>
      <c r="D37" s="72"/>
    </row>
    <row r="38" spans="1:4">
      <c r="A38" s="17" t="s">
        <v>1574</v>
      </c>
      <c r="B38" s="17" t="s">
        <v>1575</v>
      </c>
      <c r="C38" s="56">
        <v>27956.287107953776</v>
      </c>
      <c r="D38" s="72"/>
    </row>
    <row r="39" spans="1:4" ht="28.8">
      <c r="A39" s="17" t="s">
        <v>1576</v>
      </c>
      <c r="B39" s="17" t="s">
        <v>1577</v>
      </c>
      <c r="C39" s="56">
        <v>35680.772190772193</v>
      </c>
      <c r="D39" s="72"/>
    </row>
    <row r="40" spans="1:4" ht="28.8">
      <c r="A40" s="17" t="s">
        <v>1578</v>
      </c>
      <c r="B40" s="17" t="s">
        <v>1579</v>
      </c>
      <c r="C40" s="56">
        <v>22559.7290363957</v>
      </c>
      <c r="D40" s="72"/>
    </row>
    <row r="41" spans="1:4">
      <c r="A41" s="17" t="s">
        <v>1580</v>
      </c>
      <c r="B41" s="17" t="s">
        <v>1581</v>
      </c>
      <c r="C41" s="56">
        <v>39892.203783870449</v>
      </c>
      <c r="D41" s="72"/>
    </row>
    <row r="42" spans="1:4" ht="28.8">
      <c r="A42" s="17" t="s">
        <v>1582</v>
      </c>
      <c r="B42" s="17" t="s">
        <v>1583</v>
      </c>
      <c r="C42" s="56">
        <v>48082.274268940942</v>
      </c>
      <c r="D42" s="7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>
      <selection activeCell="G54" sqref="G54"/>
    </sheetView>
  </sheetViews>
  <sheetFormatPr defaultRowHeight="14.4"/>
  <cols>
    <col min="2" max="2" width="63.33203125" customWidth="1"/>
    <col min="3" max="3" width="12.33203125" customWidth="1"/>
  </cols>
  <sheetData>
    <row r="1" spans="1:4">
      <c r="A1" s="131"/>
      <c r="B1" s="132" t="s">
        <v>2353</v>
      </c>
      <c r="C1" s="131"/>
      <c r="D1" s="131"/>
    </row>
    <row r="2" spans="1:4" ht="43.2">
      <c r="A2" s="14" t="s">
        <v>683</v>
      </c>
      <c r="B2" s="21" t="s">
        <v>702</v>
      </c>
      <c r="C2" s="61">
        <f t="shared" ref="C2:C9" si="0">D2*курс_рубля</f>
        <v>49134</v>
      </c>
      <c r="D2" s="51">
        <v>8620</v>
      </c>
    </row>
    <row r="3" spans="1:4" ht="57.6">
      <c r="A3" s="14" t="s">
        <v>684</v>
      </c>
      <c r="B3" s="21" t="s">
        <v>703</v>
      </c>
      <c r="C3" s="61">
        <f t="shared" si="0"/>
        <v>37620</v>
      </c>
      <c r="D3" s="51">
        <v>6600</v>
      </c>
    </row>
    <row r="4" spans="1:4" ht="43.2">
      <c r="A4" s="14" t="s">
        <v>685</v>
      </c>
      <c r="B4" s="21" t="s">
        <v>704</v>
      </c>
      <c r="C4" s="61">
        <f t="shared" si="0"/>
        <v>52440</v>
      </c>
      <c r="D4" s="51">
        <v>9200</v>
      </c>
    </row>
    <row r="5" spans="1:4" ht="43.2">
      <c r="A5" s="14" t="s">
        <v>686</v>
      </c>
      <c r="B5" s="21" t="s">
        <v>705</v>
      </c>
      <c r="C5" s="61">
        <f t="shared" si="0"/>
        <v>68799</v>
      </c>
      <c r="D5" s="51">
        <v>12070</v>
      </c>
    </row>
    <row r="6" spans="1:4" ht="43.2">
      <c r="A6" s="14" t="s">
        <v>687</v>
      </c>
      <c r="B6" s="21" t="s">
        <v>706</v>
      </c>
      <c r="C6" s="61">
        <f t="shared" si="0"/>
        <v>41040</v>
      </c>
      <c r="D6" s="51">
        <v>7200</v>
      </c>
    </row>
    <row r="7" spans="1:4" ht="43.2">
      <c r="A7" s="14" t="s">
        <v>688</v>
      </c>
      <c r="B7" s="21" t="s">
        <v>707</v>
      </c>
      <c r="C7" s="61">
        <f t="shared" si="0"/>
        <v>63897</v>
      </c>
      <c r="D7" s="51">
        <v>11210</v>
      </c>
    </row>
    <row r="8" spans="1:4" ht="43.2">
      <c r="A8" s="14" t="s">
        <v>689</v>
      </c>
      <c r="B8" s="21" t="s">
        <v>708</v>
      </c>
      <c r="C8" s="61">
        <f t="shared" si="0"/>
        <v>86811</v>
      </c>
      <c r="D8" s="51">
        <v>15230</v>
      </c>
    </row>
    <row r="9" spans="1:4" ht="28.8">
      <c r="A9" s="14" t="s">
        <v>184</v>
      </c>
      <c r="B9" s="26" t="s">
        <v>709</v>
      </c>
      <c r="C9" s="61">
        <f t="shared" si="0"/>
        <v>333564</v>
      </c>
      <c r="D9" s="51">
        <v>58520</v>
      </c>
    </row>
    <row r="10" spans="1:4" ht="15.6">
      <c r="A10" s="19"/>
      <c r="B10" s="35" t="s">
        <v>557</v>
      </c>
      <c r="C10" s="65"/>
      <c r="D10" s="65"/>
    </row>
    <row r="11" spans="1:4" ht="28.8">
      <c r="A11" s="9" t="s">
        <v>628</v>
      </c>
      <c r="B11" s="37" t="s">
        <v>810</v>
      </c>
      <c r="C11" s="61">
        <v>21590</v>
      </c>
      <c r="D11" s="53"/>
    </row>
    <row r="12" spans="1:4" ht="28.8">
      <c r="A12" s="9" t="s">
        <v>629</v>
      </c>
      <c r="B12" s="37" t="s">
        <v>809</v>
      </c>
      <c r="C12" s="61">
        <v>21590</v>
      </c>
      <c r="D12" s="53"/>
    </row>
    <row r="13" spans="1:4" ht="57.6">
      <c r="A13" s="9" t="s">
        <v>630</v>
      </c>
      <c r="B13" s="43" t="s">
        <v>630</v>
      </c>
      <c r="C13" s="61">
        <v>4670</v>
      </c>
      <c r="D13" s="53"/>
    </row>
    <row r="14" spans="1:4" ht="28.8">
      <c r="A14" s="9" t="s">
        <v>631</v>
      </c>
      <c r="B14" s="37" t="s">
        <v>811</v>
      </c>
      <c r="C14" s="61">
        <v>32090</v>
      </c>
      <c r="D14" s="53"/>
    </row>
    <row r="15" spans="1:4" ht="28.8">
      <c r="A15" s="9" t="s">
        <v>632</v>
      </c>
      <c r="B15" s="36" t="s">
        <v>812</v>
      </c>
      <c r="C15" s="61">
        <v>41425</v>
      </c>
      <c r="D15" s="53"/>
    </row>
    <row r="16" spans="1:4" ht="28.8">
      <c r="A16" s="9" t="s">
        <v>633</v>
      </c>
      <c r="B16" s="36" t="s">
        <v>813</v>
      </c>
      <c r="C16" s="61">
        <v>72000</v>
      </c>
      <c r="D16" s="53"/>
    </row>
    <row r="17" spans="1:4" ht="28.8">
      <c r="A17" s="9" t="s">
        <v>634</v>
      </c>
      <c r="B17" s="38" t="s">
        <v>814</v>
      </c>
      <c r="C17" s="61">
        <v>75848</v>
      </c>
      <c r="D17" s="53"/>
    </row>
    <row r="18" spans="1:4" ht="57.6">
      <c r="A18" s="9" t="s">
        <v>635</v>
      </c>
      <c r="B18" s="43" t="s">
        <v>635</v>
      </c>
      <c r="C18" s="61">
        <v>122524</v>
      </c>
      <c r="D18" s="53"/>
    </row>
    <row r="19" spans="1:4" ht="43.2">
      <c r="A19" s="9" t="s">
        <v>636</v>
      </c>
      <c r="B19" s="37" t="s">
        <v>815</v>
      </c>
      <c r="C19" s="61">
        <v>17547</v>
      </c>
      <c r="D19" s="53"/>
    </row>
    <row r="20" spans="1:4" ht="43.2">
      <c r="A20" s="9" t="s">
        <v>637</v>
      </c>
      <c r="B20" s="36" t="s">
        <v>816</v>
      </c>
      <c r="C20" s="61">
        <v>31334</v>
      </c>
      <c r="D20" s="53"/>
    </row>
    <row r="21" spans="1:4" ht="43.2">
      <c r="A21" s="9" t="s">
        <v>638</v>
      </c>
      <c r="B21" s="36" t="s">
        <v>817</v>
      </c>
      <c r="C21" s="61">
        <v>78960</v>
      </c>
      <c r="D21" s="53"/>
    </row>
    <row r="22" spans="1:4" ht="43.2">
      <c r="A22" s="9" t="s">
        <v>639</v>
      </c>
      <c r="B22" s="38" t="s">
        <v>818</v>
      </c>
      <c r="C22" s="61">
        <v>41360</v>
      </c>
      <c r="D22" s="53"/>
    </row>
    <row r="23" spans="1:4" ht="15.6">
      <c r="A23" s="48"/>
      <c r="B23" s="49" t="s">
        <v>820</v>
      </c>
      <c r="C23" s="66"/>
      <c r="D23" s="66"/>
    </row>
    <row r="24" spans="1:4">
      <c r="A24" s="17"/>
      <c r="B24" s="33" t="s">
        <v>821</v>
      </c>
      <c r="C24" s="61"/>
      <c r="D24" s="53"/>
    </row>
    <row r="25" spans="1:4" ht="43.2">
      <c r="A25" s="44" t="s">
        <v>822</v>
      </c>
      <c r="B25" s="157" t="s">
        <v>837</v>
      </c>
      <c r="C25" s="164">
        <f>D25*317.5</f>
        <v>18732.5</v>
      </c>
      <c r="D25" s="160">
        <v>59</v>
      </c>
    </row>
    <row r="26" spans="1:4" ht="43.2">
      <c r="A26" s="44" t="s">
        <v>2625</v>
      </c>
      <c r="B26" s="157" t="s">
        <v>2626</v>
      </c>
      <c r="C26" s="164">
        <f t="shared" ref="C26:C42" si="1">D26*317.5</f>
        <v>19685</v>
      </c>
      <c r="D26" s="160">
        <v>62</v>
      </c>
    </row>
    <row r="27" spans="1:4" ht="43.2">
      <c r="A27" s="44" t="s">
        <v>823</v>
      </c>
      <c r="B27" s="45" t="s">
        <v>838</v>
      </c>
      <c r="C27" s="164">
        <f t="shared" si="1"/>
        <v>20955</v>
      </c>
      <c r="D27" s="160">
        <v>66</v>
      </c>
    </row>
    <row r="28" spans="1:4" ht="43.2">
      <c r="A28" s="44" t="s">
        <v>824</v>
      </c>
      <c r="B28" s="45" t="s">
        <v>839</v>
      </c>
      <c r="C28" s="164">
        <f t="shared" si="1"/>
        <v>22225</v>
      </c>
      <c r="D28" s="160">
        <v>70</v>
      </c>
    </row>
    <row r="29" spans="1:4" ht="43.2">
      <c r="A29" s="44" t="s">
        <v>825</v>
      </c>
      <c r="B29" s="45" t="s">
        <v>840</v>
      </c>
      <c r="C29" s="164">
        <f t="shared" si="1"/>
        <v>30162.5</v>
      </c>
      <c r="D29" s="160">
        <v>95</v>
      </c>
    </row>
    <row r="30" spans="1:4" ht="43.2">
      <c r="A30" s="44" t="s">
        <v>826</v>
      </c>
      <c r="B30" s="45" t="s">
        <v>841</v>
      </c>
      <c r="C30" s="164">
        <f t="shared" si="1"/>
        <v>32385</v>
      </c>
      <c r="D30" s="160">
        <v>102</v>
      </c>
    </row>
    <row r="31" spans="1:4" ht="28.8">
      <c r="A31" s="158" t="s">
        <v>2627</v>
      </c>
      <c r="B31" s="159" t="s">
        <v>2628</v>
      </c>
      <c r="C31" s="164">
        <f t="shared" si="1"/>
        <v>34290</v>
      </c>
      <c r="D31" s="160">
        <v>108</v>
      </c>
    </row>
    <row r="32" spans="1:4" ht="28.8">
      <c r="A32" s="158" t="s">
        <v>2629</v>
      </c>
      <c r="B32" s="159" t="s">
        <v>2630</v>
      </c>
      <c r="C32" s="164">
        <f t="shared" si="1"/>
        <v>35877.5</v>
      </c>
      <c r="D32" s="160">
        <v>113</v>
      </c>
    </row>
    <row r="33" spans="1:4" ht="43.2">
      <c r="A33" s="158" t="s">
        <v>2631</v>
      </c>
      <c r="B33" s="159" t="s">
        <v>2632</v>
      </c>
      <c r="C33" s="164">
        <f t="shared" si="1"/>
        <v>38100</v>
      </c>
      <c r="D33" s="160">
        <v>120</v>
      </c>
    </row>
    <row r="34" spans="1:4" ht="28.8">
      <c r="A34" s="44" t="s">
        <v>827</v>
      </c>
      <c r="B34" s="45" t="s">
        <v>842</v>
      </c>
      <c r="C34" s="164">
        <f t="shared" si="1"/>
        <v>36195</v>
      </c>
      <c r="D34" s="160">
        <v>114</v>
      </c>
    </row>
    <row r="35" spans="1:4" ht="43.2">
      <c r="A35" s="161" t="s">
        <v>2633</v>
      </c>
      <c r="B35" s="159" t="s">
        <v>2634</v>
      </c>
      <c r="C35" s="164">
        <f t="shared" si="1"/>
        <v>40957.5</v>
      </c>
      <c r="D35" s="160">
        <v>129</v>
      </c>
    </row>
    <row r="36" spans="1:4" ht="43.2">
      <c r="A36" s="44" t="s">
        <v>828</v>
      </c>
      <c r="B36" s="45" t="s">
        <v>843</v>
      </c>
      <c r="C36" s="164">
        <f t="shared" si="1"/>
        <v>45085</v>
      </c>
      <c r="D36" s="160">
        <v>142</v>
      </c>
    </row>
    <row r="37" spans="1:4" ht="43.2">
      <c r="A37" s="44" t="s">
        <v>829</v>
      </c>
      <c r="B37" s="45" t="s">
        <v>844</v>
      </c>
      <c r="C37" s="164">
        <f t="shared" si="1"/>
        <v>54292.5</v>
      </c>
      <c r="D37" s="160">
        <v>171</v>
      </c>
    </row>
    <row r="38" spans="1:4" ht="43.2">
      <c r="A38" s="44" t="s">
        <v>830</v>
      </c>
      <c r="B38" s="45" t="s">
        <v>845</v>
      </c>
      <c r="C38" s="164">
        <f t="shared" si="1"/>
        <v>58420</v>
      </c>
      <c r="D38" s="160">
        <v>184</v>
      </c>
    </row>
    <row r="39" spans="1:4" ht="72">
      <c r="A39" s="44" t="s">
        <v>831</v>
      </c>
      <c r="B39" s="45" t="s">
        <v>846</v>
      </c>
      <c r="C39" s="164">
        <f t="shared" si="1"/>
        <v>157162.5</v>
      </c>
      <c r="D39" s="160">
        <v>495</v>
      </c>
    </row>
    <row r="40" spans="1:4">
      <c r="A40" s="44" t="s">
        <v>832</v>
      </c>
      <c r="B40" s="45" t="s">
        <v>847</v>
      </c>
      <c r="C40" s="164">
        <f t="shared" si="1"/>
        <v>42227.5</v>
      </c>
      <c r="D40" s="160">
        <v>133</v>
      </c>
    </row>
    <row r="41" spans="1:4" ht="43.2">
      <c r="A41" s="44" t="s">
        <v>833</v>
      </c>
      <c r="B41" s="45" t="s">
        <v>848</v>
      </c>
      <c r="C41" s="164">
        <f t="shared" si="1"/>
        <v>74612.5</v>
      </c>
      <c r="D41" s="160">
        <v>235</v>
      </c>
    </row>
    <row r="42" spans="1:4" ht="144">
      <c r="A42" s="44" t="s">
        <v>834</v>
      </c>
      <c r="B42" s="45" t="s">
        <v>849</v>
      </c>
      <c r="C42" s="164">
        <f t="shared" si="1"/>
        <v>100330</v>
      </c>
      <c r="D42" s="160">
        <v>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8"/>
  <sheetViews>
    <sheetView topLeftCell="A25" workbookViewId="0">
      <selection activeCell="A47" sqref="A47:D48"/>
    </sheetView>
  </sheetViews>
  <sheetFormatPr defaultRowHeight="14.4"/>
  <cols>
    <col min="1" max="1" width="14.109375" customWidth="1"/>
    <col min="2" max="2" width="62.33203125" customWidth="1"/>
    <col min="3" max="3" width="11.21875" customWidth="1"/>
  </cols>
  <sheetData>
    <row r="1" spans="1:4" ht="15.6">
      <c r="A1" s="14"/>
      <c r="B1" s="29" t="s">
        <v>373</v>
      </c>
      <c r="C1" s="61"/>
      <c r="D1" s="51"/>
    </row>
    <row r="2" spans="1:4">
      <c r="A2" s="14" t="s">
        <v>374</v>
      </c>
      <c r="B2" s="15" t="s">
        <v>375</v>
      </c>
      <c r="C2" s="61">
        <f t="shared" ref="C2:C26" si="0">D2*курс_рубля</f>
        <v>9611.5596330275221</v>
      </c>
      <c r="D2" s="51">
        <v>1686.2385321100917</v>
      </c>
    </row>
    <row r="3" spans="1:4">
      <c r="A3" s="14" t="s">
        <v>413</v>
      </c>
      <c r="B3" s="15" t="s">
        <v>376</v>
      </c>
      <c r="C3" s="61">
        <f t="shared" si="0"/>
        <v>9611.5596330275221</v>
      </c>
      <c r="D3" s="51">
        <v>1686.2385321100917</v>
      </c>
    </row>
    <row r="4" spans="1:4">
      <c r="A4" s="14" t="s">
        <v>412</v>
      </c>
      <c r="B4" s="15" t="s">
        <v>346</v>
      </c>
      <c r="C4" s="61">
        <f t="shared" si="0"/>
        <v>17037.247706422018</v>
      </c>
      <c r="D4" s="51">
        <v>2988.9908256880731</v>
      </c>
    </row>
    <row r="5" spans="1:4">
      <c r="A5" s="14" t="s">
        <v>411</v>
      </c>
      <c r="B5" s="15" t="s">
        <v>377</v>
      </c>
      <c r="C5" s="61">
        <f t="shared" si="0"/>
        <v>11807.889908256881</v>
      </c>
      <c r="D5" s="51">
        <v>2071.559633027523</v>
      </c>
    </row>
    <row r="6" spans="1:4">
      <c r="A6" s="14" t="s">
        <v>410</v>
      </c>
      <c r="B6" s="15" t="s">
        <v>347</v>
      </c>
      <c r="C6" s="61">
        <f t="shared" si="0"/>
        <v>19756.51376146789</v>
      </c>
      <c r="D6" s="51">
        <v>3466.0550458715597</v>
      </c>
    </row>
    <row r="7" spans="1:4">
      <c r="A7" s="14" t="s">
        <v>409</v>
      </c>
      <c r="B7" s="15" t="s">
        <v>378</v>
      </c>
      <c r="C7" s="61">
        <f t="shared" si="0"/>
        <v>15154.67889908257</v>
      </c>
      <c r="D7" s="51">
        <v>2658.7155963302753</v>
      </c>
    </row>
    <row r="8" spans="1:4">
      <c r="A8" s="14" t="s">
        <v>408</v>
      </c>
      <c r="B8" s="15" t="s">
        <v>348</v>
      </c>
      <c r="C8" s="61">
        <f t="shared" si="0"/>
        <v>20279.449541284404</v>
      </c>
      <c r="D8" s="51">
        <v>3557.7981651376144</v>
      </c>
    </row>
    <row r="9" spans="1:4">
      <c r="A9" s="14" t="s">
        <v>407</v>
      </c>
      <c r="B9" s="15" t="s">
        <v>349</v>
      </c>
      <c r="C9" s="61">
        <f t="shared" si="0"/>
        <v>23835.412844036695</v>
      </c>
      <c r="D9" s="51">
        <v>4181.6513761467886</v>
      </c>
    </row>
    <row r="10" spans="1:4">
      <c r="A10" s="14" t="s">
        <v>406</v>
      </c>
      <c r="B10" s="15" t="s">
        <v>350</v>
      </c>
      <c r="C10" s="61">
        <f t="shared" si="0"/>
        <v>26973.027522935783</v>
      </c>
      <c r="D10" s="51">
        <v>4732.1100917431195</v>
      </c>
    </row>
    <row r="11" spans="1:4">
      <c r="A11" s="14" t="s">
        <v>405</v>
      </c>
      <c r="B11" s="15" t="s">
        <v>351</v>
      </c>
      <c r="C11" s="61">
        <f t="shared" si="0"/>
        <v>26240.917431192662</v>
      </c>
      <c r="D11" s="51">
        <v>4603.6697247706425</v>
      </c>
    </row>
    <row r="12" spans="1:4">
      <c r="A12" s="14" t="s">
        <v>404</v>
      </c>
      <c r="B12" s="15" t="s">
        <v>352</v>
      </c>
      <c r="C12" s="61">
        <f t="shared" si="0"/>
        <v>32411.559633027526</v>
      </c>
      <c r="D12" s="51">
        <v>5686.2385321100919</v>
      </c>
    </row>
    <row r="13" spans="1:4">
      <c r="A13" s="14" t="s">
        <v>403</v>
      </c>
      <c r="B13" s="15" t="s">
        <v>353</v>
      </c>
      <c r="C13" s="61">
        <f t="shared" si="0"/>
        <v>9412.8440366972482</v>
      </c>
      <c r="D13" s="51">
        <v>1651.3761467889908</v>
      </c>
    </row>
    <row r="14" spans="1:4">
      <c r="A14" s="14" t="s">
        <v>402</v>
      </c>
      <c r="B14" s="15" t="s">
        <v>354</v>
      </c>
      <c r="C14" s="61">
        <f t="shared" si="0"/>
        <v>10134.495412844037</v>
      </c>
      <c r="D14" s="51">
        <v>1777.9816513761468</v>
      </c>
    </row>
    <row r="15" spans="1:4">
      <c r="A15" s="14" t="s">
        <v>401</v>
      </c>
      <c r="B15" s="15" t="s">
        <v>355</v>
      </c>
      <c r="C15" s="61">
        <f t="shared" si="0"/>
        <v>12330.825688073395</v>
      </c>
      <c r="D15" s="51">
        <v>2163.3027522935781</v>
      </c>
    </row>
    <row r="16" spans="1:4">
      <c r="A16" s="14" t="s">
        <v>401</v>
      </c>
      <c r="B16" s="15" t="s">
        <v>356</v>
      </c>
      <c r="C16" s="61">
        <f t="shared" si="0"/>
        <v>12330.825688073395</v>
      </c>
      <c r="D16" s="51">
        <v>2163.3027522935781</v>
      </c>
    </row>
    <row r="17" spans="1:4">
      <c r="A17" s="14" t="s">
        <v>400</v>
      </c>
      <c r="B17" s="15" t="s">
        <v>357</v>
      </c>
      <c r="C17" s="61">
        <f t="shared" si="0"/>
        <v>38895.963302752294</v>
      </c>
      <c r="D17" s="51">
        <v>6823.8532110091737</v>
      </c>
    </row>
    <row r="18" spans="1:4">
      <c r="A18" s="14" t="s">
        <v>399</v>
      </c>
      <c r="B18" s="15" t="s">
        <v>358</v>
      </c>
      <c r="C18" s="61">
        <f t="shared" si="0"/>
        <v>22580.366972477066</v>
      </c>
      <c r="D18" s="51">
        <v>3961.4678899082569</v>
      </c>
    </row>
    <row r="19" spans="1:4">
      <c r="A19" s="14" t="s">
        <v>398</v>
      </c>
      <c r="B19" s="15" t="s">
        <v>359</v>
      </c>
      <c r="C19" s="61">
        <f t="shared" si="0"/>
        <v>33248.256880733941</v>
      </c>
      <c r="D19" s="51">
        <v>5833.0275229357794</v>
      </c>
    </row>
    <row r="20" spans="1:4">
      <c r="A20" s="14" t="s">
        <v>397</v>
      </c>
      <c r="B20" s="15" t="s">
        <v>360</v>
      </c>
      <c r="C20" s="61">
        <f t="shared" si="0"/>
        <v>26450.091743119268</v>
      </c>
      <c r="D20" s="51">
        <v>4640.3669724770643</v>
      </c>
    </row>
    <row r="21" spans="1:4">
      <c r="A21" s="14" t="s">
        <v>396</v>
      </c>
      <c r="B21" s="15" t="s">
        <v>361</v>
      </c>
      <c r="C21" s="61">
        <f t="shared" si="0"/>
        <v>27600.550458715596</v>
      </c>
      <c r="D21" s="51">
        <v>4842.2018348623851</v>
      </c>
    </row>
    <row r="22" spans="1:4">
      <c r="A22" s="14" t="s">
        <v>395</v>
      </c>
      <c r="B22" s="15" t="s">
        <v>362</v>
      </c>
      <c r="C22" s="61">
        <f t="shared" si="0"/>
        <v>31051.926605504588</v>
      </c>
      <c r="D22" s="51">
        <v>5447.7064220183483</v>
      </c>
    </row>
    <row r="23" spans="1:4">
      <c r="A23" s="14"/>
      <c r="B23" s="30" t="s">
        <v>363</v>
      </c>
      <c r="C23" s="61">
        <f t="shared" si="0"/>
        <v>0</v>
      </c>
      <c r="D23" s="51"/>
    </row>
    <row r="24" spans="1:4">
      <c r="A24" s="14" t="s">
        <v>392</v>
      </c>
      <c r="B24" s="15" t="s">
        <v>364</v>
      </c>
      <c r="C24" s="61">
        <f t="shared" si="0"/>
        <v>7728.9908256880726</v>
      </c>
      <c r="D24" s="51">
        <v>1355.9633027522934</v>
      </c>
    </row>
    <row r="25" spans="1:4">
      <c r="A25" s="14" t="s">
        <v>393</v>
      </c>
      <c r="B25" s="15" t="s">
        <v>365</v>
      </c>
      <c r="C25" s="61">
        <f t="shared" si="0"/>
        <v>12540</v>
      </c>
      <c r="D25" s="51">
        <v>2200</v>
      </c>
    </row>
    <row r="26" spans="1:4">
      <c r="A26" s="14" t="s">
        <v>394</v>
      </c>
      <c r="B26" s="15" t="s">
        <v>366</v>
      </c>
      <c r="C26" s="61">
        <f t="shared" si="0"/>
        <v>18815.229357798165</v>
      </c>
      <c r="D26" s="51">
        <v>3300.9174311926604</v>
      </c>
    </row>
    <row r="27" spans="1:4">
      <c r="A27" s="14"/>
      <c r="B27" s="33" t="s">
        <v>2355</v>
      </c>
      <c r="C27" s="61"/>
      <c r="D27" s="51"/>
    </row>
    <row r="28" spans="1:4" ht="28.8">
      <c r="A28" s="14" t="s">
        <v>149</v>
      </c>
      <c r="B28" s="15" t="s">
        <v>425</v>
      </c>
      <c r="C28" s="61">
        <v>171380</v>
      </c>
      <c r="D28" s="51">
        <f>C28/5.45</f>
        <v>31445.871559633026</v>
      </c>
    </row>
    <row r="29" spans="1:4">
      <c r="A29" s="14" t="s">
        <v>146</v>
      </c>
      <c r="B29" s="26" t="s">
        <v>554</v>
      </c>
      <c r="C29" s="61">
        <v>157995.5</v>
      </c>
      <c r="D29" s="51">
        <f t="shared" ref="D29:D32" si="1">C29/5.45</f>
        <v>28990</v>
      </c>
    </row>
    <row r="30" spans="1:4" ht="28.8">
      <c r="A30" s="14" t="s">
        <v>147</v>
      </c>
      <c r="B30" s="21" t="s">
        <v>555</v>
      </c>
      <c r="C30" s="61">
        <v>139629</v>
      </c>
      <c r="D30" s="51">
        <f t="shared" si="1"/>
        <v>25620</v>
      </c>
    </row>
    <row r="31" spans="1:4">
      <c r="A31" s="14" t="s">
        <v>148</v>
      </c>
      <c r="B31" s="26" t="s">
        <v>556</v>
      </c>
      <c r="C31" s="61">
        <v>611272</v>
      </c>
      <c r="D31" s="51">
        <f t="shared" si="1"/>
        <v>112160</v>
      </c>
    </row>
    <row r="32" spans="1:4" ht="28.8">
      <c r="A32" s="14" t="s">
        <v>149</v>
      </c>
      <c r="B32" s="26" t="s">
        <v>425</v>
      </c>
      <c r="C32" s="61">
        <v>172329</v>
      </c>
      <c r="D32" s="51">
        <f t="shared" si="1"/>
        <v>31620</v>
      </c>
    </row>
    <row r="33" spans="1:4">
      <c r="A33" s="14" t="s">
        <v>186</v>
      </c>
      <c r="B33" s="26" t="s">
        <v>714</v>
      </c>
      <c r="C33" s="61">
        <v>33681</v>
      </c>
      <c r="D33" s="51">
        <f>C33/5.45</f>
        <v>6180</v>
      </c>
    </row>
    <row r="34" spans="1:4">
      <c r="A34" s="14" t="s">
        <v>187</v>
      </c>
      <c r="B34" s="15" t="s">
        <v>713</v>
      </c>
      <c r="C34" s="61">
        <v>57824.5</v>
      </c>
      <c r="D34" s="51">
        <f>C34/5.45</f>
        <v>10610</v>
      </c>
    </row>
    <row r="35" spans="1:4">
      <c r="A35" s="17" t="s">
        <v>199</v>
      </c>
      <c r="B35" s="15" t="s">
        <v>715</v>
      </c>
      <c r="C35" s="61">
        <v>21854.5</v>
      </c>
      <c r="D35" s="51">
        <f t="shared" ref="D35" si="2">C35/5.45</f>
        <v>4010</v>
      </c>
    </row>
    <row r="36" spans="1:4" ht="15.6">
      <c r="A36" s="68"/>
      <c r="B36" s="69" t="s">
        <v>209</v>
      </c>
      <c r="C36" s="70"/>
      <c r="D36" s="71"/>
    </row>
    <row r="37" spans="1:4">
      <c r="A37" s="17" t="s">
        <v>295</v>
      </c>
      <c r="B37" s="32" t="s">
        <v>226</v>
      </c>
      <c r="C37" s="61">
        <v>48300</v>
      </c>
      <c r="D37" s="53"/>
    </row>
    <row r="38" spans="1:4">
      <c r="A38" s="17" t="s">
        <v>296</v>
      </c>
      <c r="B38" s="32" t="s">
        <v>227</v>
      </c>
      <c r="C38" s="61">
        <v>29400</v>
      </c>
      <c r="D38" s="53"/>
    </row>
    <row r="39" spans="1:4">
      <c r="A39" s="17" t="s">
        <v>297</v>
      </c>
      <c r="B39" s="32" t="s">
        <v>228</v>
      </c>
      <c r="C39" s="61">
        <v>56000</v>
      </c>
      <c r="D39" s="53"/>
    </row>
    <row r="40" spans="1:4">
      <c r="A40" s="17" t="s">
        <v>298</v>
      </c>
      <c r="B40" s="32" t="s">
        <v>229</v>
      </c>
      <c r="C40" s="61">
        <v>37100</v>
      </c>
      <c r="D40" s="53"/>
    </row>
    <row r="41" spans="1:4" ht="15.6">
      <c r="A41" s="17"/>
      <c r="B41" s="29" t="s">
        <v>2358</v>
      </c>
      <c r="C41" s="61"/>
      <c r="D41" s="53"/>
    </row>
    <row r="42" spans="1:4">
      <c r="A42" s="9" t="s">
        <v>643</v>
      </c>
      <c r="B42" s="40" t="s">
        <v>618</v>
      </c>
      <c r="C42" s="61">
        <v>40000</v>
      </c>
      <c r="D42" s="53"/>
    </row>
    <row r="43" spans="1:4">
      <c r="A43" s="9" t="s">
        <v>644</v>
      </c>
      <c r="B43" s="40" t="s">
        <v>619</v>
      </c>
      <c r="C43" s="61">
        <v>113000</v>
      </c>
      <c r="D43" s="53"/>
    </row>
    <row r="44" spans="1:4">
      <c r="A44" s="11" t="s">
        <v>620</v>
      </c>
      <c r="B44" s="41" t="s">
        <v>620</v>
      </c>
      <c r="C44" s="61">
        <v>79000</v>
      </c>
      <c r="D44" s="53"/>
    </row>
    <row r="45" spans="1:4" ht="15.6">
      <c r="A45" s="48"/>
      <c r="B45" s="49" t="s">
        <v>820</v>
      </c>
      <c r="C45" s="66"/>
      <c r="D45" s="66"/>
    </row>
    <row r="46" spans="1:4">
      <c r="A46" s="44"/>
      <c r="B46" s="46" t="s">
        <v>850</v>
      </c>
      <c r="C46" s="61"/>
      <c r="D46" s="53"/>
    </row>
    <row r="47" spans="1:4" ht="28.8">
      <c r="A47" s="44" t="s">
        <v>835</v>
      </c>
      <c r="B47" s="45" t="s">
        <v>2635</v>
      </c>
      <c r="C47" s="164">
        <f t="shared" ref="C47:C48" si="3">D47*317.5</f>
        <v>25400</v>
      </c>
      <c r="D47" s="160">
        <v>80</v>
      </c>
    </row>
    <row r="48" spans="1:4" ht="28.8">
      <c r="A48" s="44" t="s">
        <v>836</v>
      </c>
      <c r="B48" s="45" t="s">
        <v>851</v>
      </c>
      <c r="C48" s="164">
        <f t="shared" si="3"/>
        <v>22542.5</v>
      </c>
      <c r="D48" s="160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8"/>
  <sheetViews>
    <sheetView topLeftCell="A85" workbookViewId="0">
      <selection activeCell="F116" sqref="F116"/>
    </sheetView>
  </sheetViews>
  <sheetFormatPr defaultRowHeight="14.4"/>
  <cols>
    <col min="1" max="1" width="16.88671875" customWidth="1"/>
    <col min="2" max="2" width="80" customWidth="1"/>
    <col min="3" max="3" width="18.21875" customWidth="1"/>
    <col min="4" max="4" width="13.88671875" customWidth="1"/>
  </cols>
  <sheetData>
    <row r="1" spans="1:4">
      <c r="A1" s="14" t="s">
        <v>19</v>
      </c>
      <c r="B1" s="26" t="s">
        <v>477</v>
      </c>
      <c r="C1" s="61">
        <f t="shared" ref="C1:C32" si="0">D1*курс_рубля</f>
        <v>46113</v>
      </c>
      <c r="D1" s="51">
        <v>8090</v>
      </c>
    </row>
    <row r="2" spans="1:4">
      <c r="A2" s="14" t="s">
        <v>20</v>
      </c>
      <c r="B2" s="26" t="s">
        <v>439</v>
      </c>
      <c r="C2" s="61">
        <f t="shared" si="0"/>
        <v>208164</v>
      </c>
      <c r="D2" s="51">
        <v>36520</v>
      </c>
    </row>
    <row r="3" spans="1:4">
      <c r="A3" s="14" t="s">
        <v>21</v>
      </c>
      <c r="B3" s="26" t="s">
        <v>478</v>
      </c>
      <c r="C3" s="61">
        <f t="shared" si="0"/>
        <v>360069</v>
      </c>
      <c r="D3" s="51">
        <v>63170</v>
      </c>
    </row>
    <row r="4" spans="1:4">
      <c r="A4" s="14" t="s">
        <v>22</v>
      </c>
      <c r="B4" s="26" t="s">
        <v>479</v>
      </c>
      <c r="C4" s="61">
        <f t="shared" si="0"/>
        <v>1080264</v>
      </c>
      <c r="D4" s="51">
        <v>189520</v>
      </c>
    </row>
    <row r="5" spans="1:4">
      <c r="A5" s="14" t="s">
        <v>23</v>
      </c>
      <c r="B5" s="26" t="s">
        <v>438</v>
      </c>
      <c r="C5" s="61">
        <f t="shared" si="0"/>
        <v>2138127</v>
      </c>
      <c r="D5" s="51">
        <v>375110</v>
      </c>
    </row>
    <row r="6" spans="1:4">
      <c r="A6" s="14" t="s">
        <v>24</v>
      </c>
      <c r="B6" s="17" t="s">
        <v>480</v>
      </c>
      <c r="C6" s="61">
        <f t="shared" si="0"/>
        <v>168777</v>
      </c>
      <c r="D6" s="51">
        <v>29610</v>
      </c>
    </row>
    <row r="7" spans="1:4">
      <c r="A7" s="14" t="s">
        <v>25</v>
      </c>
      <c r="B7" s="26" t="s">
        <v>437</v>
      </c>
      <c r="C7" s="61">
        <f t="shared" si="0"/>
        <v>337554</v>
      </c>
      <c r="D7" s="51">
        <v>59220</v>
      </c>
    </row>
    <row r="8" spans="1:4">
      <c r="A8" s="14" t="s">
        <v>26</v>
      </c>
      <c r="B8" s="17" t="s">
        <v>483</v>
      </c>
      <c r="C8" s="61">
        <f t="shared" si="0"/>
        <v>46113</v>
      </c>
      <c r="D8" s="51">
        <v>8090</v>
      </c>
    </row>
    <row r="9" spans="1:4">
      <c r="A9" s="14" t="s">
        <v>27</v>
      </c>
      <c r="B9" s="17" t="s">
        <v>485</v>
      </c>
      <c r="C9" s="61">
        <f t="shared" si="0"/>
        <v>127680</v>
      </c>
      <c r="D9" s="51">
        <v>22400</v>
      </c>
    </row>
    <row r="10" spans="1:4">
      <c r="A10" s="14" t="s">
        <v>28</v>
      </c>
      <c r="B10" s="17" t="s">
        <v>486</v>
      </c>
      <c r="C10" s="61">
        <f t="shared" si="0"/>
        <v>159657</v>
      </c>
      <c r="D10" s="51">
        <v>28010</v>
      </c>
    </row>
    <row r="11" spans="1:4">
      <c r="A11" s="14" t="s">
        <v>29</v>
      </c>
      <c r="B11" s="17" t="s">
        <v>490</v>
      </c>
      <c r="C11" s="61">
        <f t="shared" si="0"/>
        <v>303354</v>
      </c>
      <c r="D11" s="51">
        <v>53220</v>
      </c>
    </row>
    <row r="12" spans="1:4">
      <c r="A12" s="14" t="s">
        <v>30</v>
      </c>
      <c r="B12" s="17" t="s">
        <v>489</v>
      </c>
      <c r="C12" s="61">
        <f t="shared" si="0"/>
        <v>691923</v>
      </c>
      <c r="D12" s="51">
        <v>121390</v>
      </c>
    </row>
    <row r="13" spans="1:4" ht="28.8">
      <c r="A13" s="14" t="s">
        <v>31</v>
      </c>
      <c r="B13" s="17" t="s">
        <v>487</v>
      </c>
      <c r="C13" s="61">
        <f t="shared" si="0"/>
        <v>8436</v>
      </c>
      <c r="D13" s="51">
        <v>1480</v>
      </c>
    </row>
    <row r="14" spans="1:4">
      <c r="A14" s="14" t="s">
        <v>32</v>
      </c>
      <c r="B14" s="26" t="s">
        <v>436</v>
      </c>
      <c r="C14" s="61">
        <f t="shared" si="0"/>
        <v>38361</v>
      </c>
      <c r="D14" s="51">
        <v>6730</v>
      </c>
    </row>
    <row r="15" spans="1:4">
      <c r="A15" s="14" t="s">
        <v>33</v>
      </c>
      <c r="B15" s="26" t="s">
        <v>488</v>
      </c>
      <c r="C15" s="61">
        <f t="shared" si="0"/>
        <v>69882</v>
      </c>
      <c r="D15" s="51">
        <v>12260</v>
      </c>
    </row>
    <row r="16" spans="1:4" ht="28.8">
      <c r="A16" s="14" t="s">
        <v>34</v>
      </c>
      <c r="B16" s="26" t="s">
        <v>435</v>
      </c>
      <c r="C16" s="61">
        <f t="shared" si="0"/>
        <v>127167</v>
      </c>
      <c r="D16" s="51">
        <v>22310</v>
      </c>
    </row>
    <row r="17" spans="1:4">
      <c r="A17" s="14" t="s">
        <v>35</v>
      </c>
      <c r="B17" s="26" t="s">
        <v>434</v>
      </c>
      <c r="C17" s="61">
        <f t="shared" si="0"/>
        <v>105393</v>
      </c>
      <c r="D17" s="51">
        <v>18490</v>
      </c>
    </row>
    <row r="18" spans="1:4">
      <c r="A18" s="14" t="s">
        <v>36</v>
      </c>
      <c r="B18" s="26" t="s">
        <v>433</v>
      </c>
      <c r="C18" s="61">
        <f t="shared" si="0"/>
        <v>479256</v>
      </c>
      <c r="D18" s="51">
        <v>84080</v>
      </c>
    </row>
    <row r="19" spans="1:4">
      <c r="A19" s="14" t="s">
        <v>37</v>
      </c>
      <c r="B19" s="26" t="s">
        <v>432</v>
      </c>
      <c r="C19" s="61">
        <f t="shared" si="0"/>
        <v>871359</v>
      </c>
      <c r="D19" s="51">
        <v>152870</v>
      </c>
    </row>
    <row r="20" spans="1:4">
      <c r="A20" s="14" t="s">
        <v>38</v>
      </c>
      <c r="B20" s="26" t="s">
        <v>431</v>
      </c>
      <c r="C20" s="61">
        <f t="shared" si="0"/>
        <v>1584372</v>
      </c>
      <c r="D20" s="51">
        <v>277960</v>
      </c>
    </row>
    <row r="21" spans="1:4">
      <c r="A21" s="14" t="s">
        <v>39</v>
      </c>
      <c r="B21" s="26" t="s">
        <v>430</v>
      </c>
      <c r="C21" s="61">
        <f t="shared" si="0"/>
        <v>140619</v>
      </c>
      <c r="D21" s="51">
        <v>24670</v>
      </c>
    </row>
    <row r="22" spans="1:4" ht="28.8">
      <c r="A22" s="14" t="s">
        <v>40</v>
      </c>
      <c r="B22" s="17" t="s">
        <v>484</v>
      </c>
      <c r="C22" s="61">
        <f t="shared" si="0"/>
        <v>305121</v>
      </c>
      <c r="D22" s="51">
        <v>53530</v>
      </c>
    </row>
    <row r="23" spans="1:4">
      <c r="A23" s="14" t="s">
        <v>41</v>
      </c>
      <c r="B23" s="26" t="s">
        <v>440</v>
      </c>
      <c r="C23" s="61">
        <f t="shared" si="0"/>
        <v>524343</v>
      </c>
      <c r="D23" s="51">
        <v>91990</v>
      </c>
    </row>
    <row r="24" spans="1:4">
      <c r="A24" s="14" t="s">
        <v>42</v>
      </c>
      <c r="B24" s="25" t="s">
        <v>441</v>
      </c>
      <c r="C24" s="61">
        <f t="shared" si="0"/>
        <v>953325</v>
      </c>
      <c r="D24" s="51">
        <v>167250</v>
      </c>
    </row>
    <row r="25" spans="1:4">
      <c r="A25" s="14" t="s">
        <v>43</v>
      </c>
      <c r="B25" s="26" t="s">
        <v>442</v>
      </c>
      <c r="C25" s="61">
        <f t="shared" si="0"/>
        <v>2288094</v>
      </c>
      <c r="D25" s="51">
        <v>401420</v>
      </c>
    </row>
    <row r="26" spans="1:4">
      <c r="A26" s="14" t="s">
        <v>44</v>
      </c>
      <c r="B26" s="26" t="s">
        <v>443</v>
      </c>
      <c r="C26" s="61">
        <f t="shared" si="0"/>
        <v>7118616</v>
      </c>
      <c r="D26" s="51">
        <v>1248880</v>
      </c>
    </row>
    <row r="27" spans="1:4">
      <c r="A27" s="16" t="s">
        <v>45</v>
      </c>
      <c r="B27" s="26" t="s">
        <v>444</v>
      </c>
      <c r="C27" s="61">
        <f t="shared" si="0"/>
        <v>18411</v>
      </c>
      <c r="D27" s="51">
        <v>3230</v>
      </c>
    </row>
    <row r="28" spans="1:4">
      <c r="A28" s="14" t="s">
        <v>46</v>
      </c>
      <c r="B28" s="26" t="s">
        <v>445</v>
      </c>
      <c r="C28" s="61">
        <f t="shared" si="0"/>
        <v>33516</v>
      </c>
      <c r="D28" s="51">
        <v>5880</v>
      </c>
    </row>
    <row r="29" spans="1:4">
      <c r="A29" s="14" t="s">
        <v>47</v>
      </c>
      <c r="B29" s="27" t="s">
        <v>446</v>
      </c>
      <c r="C29" s="61">
        <f t="shared" si="0"/>
        <v>60933</v>
      </c>
      <c r="D29" s="51">
        <v>10690</v>
      </c>
    </row>
    <row r="30" spans="1:4">
      <c r="A30" s="14" t="s">
        <v>48</v>
      </c>
      <c r="B30" s="26" t="s">
        <v>447</v>
      </c>
      <c r="C30" s="61">
        <f t="shared" si="0"/>
        <v>110808</v>
      </c>
      <c r="D30" s="51">
        <v>19440</v>
      </c>
    </row>
    <row r="31" spans="1:4">
      <c r="A31" s="14" t="s">
        <v>49</v>
      </c>
      <c r="B31" s="26" t="s">
        <v>448</v>
      </c>
      <c r="C31" s="61">
        <f t="shared" si="0"/>
        <v>32604</v>
      </c>
      <c r="D31" s="51">
        <v>5720</v>
      </c>
    </row>
    <row r="32" spans="1:4">
      <c r="A32" s="14" t="s">
        <v>50</v>
      </c>
      <c r="B32" s="26" t="s">
        <v>449</v>
      </c>
      <c r="C32" s="61">
        <f t="shared" si="0"/>
        <v>148257</v>
      </c>
      <c r="D32" s="51">
        <v>26010</v>
      </c>
    </row>
    <row r="33" spans="1:4">
      <c r="A33" s="14" t="s">
        <v>51</v>
      </c>
      <c r="B33" s="26" t="s">
        <v>450</v>
      </c>
      <c r="C33" s="61">
        <f t="shared" ref="C33:C64" si="1">D33*курс_рубля</f>
        <v>269610</v>
      </c>
      <c r="D33" s="51">
        <v>47300</v>
      </c>
    </row>
    <row r="34" spans="1:4">
      <c r="A34" s="14" t="s">
        <v>52</v>
      </c>
      <c r="B34" s="17" t="s">
        <v>491</v>
      </c>
      <c r="C34" s="61">
        <f t="shared" si="1"/>
        <v>490257</v>
      </c>
      <c r="D34" s="51">
        <v>86010</v>
      </c>
    </row>
    <row r="35" spans="1:4" ht="28.8">
      <c r="A35" s="14" t="s">
        <v>53</v>
      </c>
      <c r="B35" s="26" t="s">
        <v>451</v>
      </c>
      <c r="C35" s="61">
        <f t="shared" si="1"/>
        <v>1539</v>
      </c>
      <c r="D35" s="51">
        <v>270</v>
      </c>
    </row>
    <row r="36" spans="1:4" ht="28.8">
      <c r="A36" s="14" t="s">
        <v>54</v>
      </c>
      <c r="B36" s="26" t="s">
        <v>452</v>
      </c>
      <c r="C36" s="61">
        <f t="shared" si="1"/>
        <v>7011</v>
      </c>
      <c r="D36" s="51">
        <v>1230</v>
      </c>
    </row>
    <row r="37" spans="1:4">
      <c r="A37" s="14" t="s">
        <v>55</v>
      </c>
      <c r="B37" s="26" t="s">
        <v>453</v>
      </c>
      <c r="C37" s="61">
        <f t="shared" si="1"/>
        <v>12768</v>
      </c>
      <c r="D37" s="51">
        <v>2240</v>
      </c>
    </row>
    <row r="38" spans="1:4">
      <c r="A38" s="14" t="s">
        <v>56</v>
      </c>
      <c r="B38" s="26" t="s">
        <v>454</v>
      </c>
      <c r="C38" s="61">
        <f t="shared" si="1"/>
        <v>23256</v>
      </c>
      <c r="D38" s="51">
        <v>4080</v>
      </c>
    </row>
    <row r="39" spans="1:4">
      <c r="A39" s="14" t="s">
        <v>57</v>
      </c>
      <c r="B39" s="26" t="s">
        <v>455</v>
      </c>
      <c r="C39" s="61">
        <f t="shared" si="1"/>
        <v>35340</v>
      </c>
      <c r="D39" s="51">
        <v>6200</v>
      </c>
    </row>
    <row r="40" spans="1:4">
      <c r="A40" s="14" t="s">
        <v>58</v>
      </c>
      <c r="B40" s="26" t="s">
        <v>456</v>
      </c>
      <c r="C40" s="61">
        <f t="shared" si="1"/>
        <v>160740</v>
      </c>
      <c r="D40" s="51">
        <v>28200</v>
      </c>
    </row>
    <row r="41" spans="1:4">
      <c r="A41" s="14" t="s">
        <v>59</v>
      </c>
      <c r="B41" s="26" t="s">
        <v>457</v>
      </c>
      <c r="C41" s="61">
        <f t="shared" si="1"/>
        <v>292239</v>
      </c>
      <c r="D41" s="51">
        <v>51270</v>
      </c>
    </row>
    <row r="42" spans="1:4">
      <c r="A42" s="14" t="s">
        <v>60</v>
      </c>
      <c r="B42" s="26" t="s">
        <v>458</v>
      </c>
      <c r="C42" s="61">
        <f t="shared" si="1"/>
        <v>531411</v>
      </c>
      <c r="D42" s="51">
        <v>93230</v>
      </c>
    </row>
    <row r="43" spans="1:4">
      <c r="A43" s="14" t="s">
        <v>61</v>
      </c>
      <c r="B43" s="26" t="s">
        <v>459</v>
      </c>
      <c r="C43" s="61">
        <f t="shared" si="1"/>
        <v>328206</v>
      </c>
      <c r="D43" s="51">
        <v>57580</v>
      </c>
    </row>
    <row r="44" spans="1:4">
      <c r="A44" s="14" t="s">
        <v>62</v>
      </c>
      <c r="B44" s="26" t="s">
        <v>460</v>
      </c>
      <c r="C44" s="61">
        <f t="shared" si="1"/>
        <v>84360</v>
      </c>
      <c r="D44" s="51">
        <v>14800</v>
      </c>
    </row>
    <row r="45" spans="1:4">
      <c r="A45" s="14" t="s">
        <v>63</v>
      </c>
      <c r="B45" s="17" t="s">
        <v>492</v>
      </c>
      <c r="C45" s="61">
        <f t="shared" si="1"/>
        <v>47424</v>
      </c>
      <c r="D45" s="51">
        <v>8320</v>
      </c>
    </row>
    <row r="46" spans="1:4">
      <c r="A46" s="14" t="s">
        <v>64</v>
      </c>
      <c r="B46" s="17" t="s">
        <v>493</v>
      </c>
      <c r="C46" s="61">
        <f t="shared" si="1"/>
        <v>200127</v>
      </c>
      <c r="D46" s="51">
        <v>35110</v>
      </c>
    </row>
    <row r="47" spans="1:4">
      <c r="A47" s="14" t="s">
        <v>65</v>
      </c>
      <c r="B47" s="17" t="s">
        <v>494</v>
      </c>
      <c r="C47" s="61">
        <f t="shared" si="1"/>
        <v>14307</v>
      </c>
      <c r="D47" s="51">
        <v>2510</v>
      </c>
    </row>
    <row r="48" spans="1:4">
      <c r="A48" s="14" t="s">
        <v>66</v>
      </c>
      <c r="B48" s="17" t="s">
        <v>495</v>
      </c>
      <c r="C48" s="61">
        <f t="shared" si="1"/>
        <v>65265</v>
      </c>
      <c r="D48" s="51">
        <v>11450</v>
      </c>
    </row>
    <row r="49" spans="1:4">
      <c r="A49" s="14" t="s">
        <v>67</v>
      </c>
      <c r="B49" s="17" t="s">
        <v>496</v>
      </c>
      <c r="C49" s="61">
        <f t="shared" si="1"/>
        <v>118788</v>
      </c>
      <c r="D49" s="51">
        <v>20840</v>
      </c>
    </row>
    <row r="50" spans="1:4">
      <c r="A50" s="14" t="s">
        <v>68</v>
      </c>
      <c r="B50" s="17" t="s">
        <v>497</v>
      </c>
      <c r="C50" s="61">
        <f t="shared" si="1"/>
        <v>216201</v>
      </c>
      <c r="D50" s="51">
        <v>37930</v>
      </c>
    </row>
    <row r="51" spans="1:4">
      <c r="A51" s="14" t="s">
        <v>69</v>
      </c>
      <c r="B51" s="17" t="s">
        <v>498</v>
      </c>
      <c r="C51" s="61">
        <f t="shared" si="1"/>
        <v>68913</v>
      </c>
      <c r="D51" s="51">
        <v>12090</v>
      </c>
    </row>
    <row r="52" spans="1:4">
      <c r="A52" s="14" t="s">
        <v>70</v>
      </c>
      <c r="B52" s="17" t="s">
        <v>499</v>
      </c>
      <c r="C52" s="61">
        <f t="shared" si="1"/>
        <v>311847</v>
      </c>
      <c r="D52" s="51">
        <v>54710</v>
      </c>
    </row>
    <row r="53" spans="1:4">
      <c r="A53" s="14" t="s">
        <v>71</v>
      </c>
      <c r="B53" s="17" t="s">
        <v>500</v>
      </c>
      <c r="C53" s="61">
        <f t="shared" si="1"/>
        <v>548796</v>
      </c>
      <c r="D53" s="51">
        <v>96280</v>
      </c>
    </row>
    <row r="54" spans="1:4">
      <c r="A54" s="14" t="s">
        <v>72</v>
      </c>
      <c r="B54" s="17" t="s">
        <v>501</v>
      </c>
      <c r="C54" s="61">
        <f t="shared" si="1"/>
        <v>1063620</v>
      </c>
      <c r="D54" s="51">
        <v>186600</v>
      </c>
    </row>
    <row r="55" spans="1:4">
      <c r="A55" s="14" t="s">
        <v>73</v>
      </c>
      <c r="B55" s="17" t="s">
        <v>502</v>
      </c>
      <c r="C55" s="61">
        <f t="shared" si="1"/>
        <v>18525</v>
      </c>
      <c r="D55" s="51">
        <v>3250</v>
      </c>
    </row>
    <row r="56" spans="1:4">
      <c r="A56" s="14" t="s">
        <v>74</v>
      </c>
      <c r="B56" s="17" t="s">
        <v>503</v>
      </c>
      <c r="C56" s="61">
        <f t="shared" si="1"/>
        <v>84474</v>
      </c>
      <c r="D56" s="51">
        <v>14820</v>
      </c>
    </row>
    <row r="57" spans="1:4">
      <c r="A57" s="14" t="s">
        <v>75</v>
      </c>
      <c r="B57" s="17" t="s">
        <v>504</v>
      </c>
      <c r="C57" s="61">
        <f t="shared" si="1"/>
        <v>153729</v>
      </c>
      <c r="D57" s="51">
        <v>26970</v>
      </c>
    </row>
    <row r="58" spans="1:4">
      <c r="A58" s="14" t="s">
        <v>76</v>
      </c>
      <c r="B58" s="17" t="s">
        <v>505</v>
      </c>
      <c r="C58" s="61">
        <f t="shared" si="1"/>
        <v>279813</v>
      </c>
      <c r="D58" s="51">
        <v>49090</v>
      </c>
    </row>
    <row r="59" spans="1:4">
      <c r="A59" s="14" t="s">
        <v>77</v>
      </c>
      <c r="B59" s="26" t="s">
        <v>461</v>
      </c>
      <c r="C59" s="61">
        <f t="shared" si="1"/>
        <v>50616</v>
      </c>
      <c r="D59" s="51">
        <v>8880</v>
      </c>
    </row>
    <row r="60" spans="1:4">
      <c r="A60" s="14" t="s">
        <v>78</v>
      </c>
      <c r="B60" s="26" t="s">
        <v>462</v>
      </c>
      <c r="C60" s="61">
        <f t="shared" si="1"/>
        <v>73359</v>
      </c>
      <c r="D60" s="51">
        <v>12870</v>
      </c>
    </row>
    <row r="61" spans="1:4">
      <c r="A61" s="14" t="s">
        <v>79</v>
      </c>
      <c r="B61" s="17" t="s">
        <v>506</v>
      </c>
      <c r="C61" s="61">
        <f t="shared" si="1"/>
        <v>55005</v>
      </c>
      <c r="D61" s="51">
        <v>9650</v>
      </c>
    </row>
    <row r="62" spans="1:4">
      <c r="A62" s="14" t="s">
        <v>80</v>
      </c>
      <c r="B62" s="26" t="s">
        <v>507</v>
      </c>
      <c r="C62" s="61">
        <f t="shared" si="1"/>
        <v>61104</v>
      </c>
      <c r="D62" s="51">
        <v>10720</v>
      </c>
    </row>
    <row r="63" spans="1:4">
      <c r="A63" s="14" t="s">
        <v>81</v>
      </c>
      <c r="B63" s="26" t="s">
        <v>463</v>
      </c>
      <c r="C63" s="61">
        <f t="shared" si="1"/>
        <v>110067</v>
      </c>
      <c r="D63" s="51">
        <v>19310</v>
      </c>
    </row>
    <row r="64" spans="1:4">
      <c r="A64" s="14" t="s">
        <v>82</v>
      </c>
      <c r="B64" s="26" t="s">
        <v>464</v>
      </c>
      <c r="C64" s="61">
        <f t="shared" si="1"/>
        <v>10089</v>
      </c>
      <c r="D64" s="51">
        <v>1770</v>
      </c>
    </row>
    <row r="65" spans="1:4">
      <c r="A65" s="14" t="s">
        <v>83</v>
      </c>
      <c r="B65" s="26" t="s">
        <v>465</v>
      </c>
      <c r="C65" s="61">
        <f t="shared" ref="C65:C96" si="2">D65*курс_рубля</f>
        <v>46056</v>
      </c>
      <c r="D65" s="51">
        <v>8080</v>
      </c>
    </row>
    <row r="66" spans="1:4">
      <c r="A66" s="14" t="s">
        <v>84</v>
      </c>
      <c r="B66" s="26" t="s">
        <v>466</v>
      </c>
      <c r="C66" s="61">
        <f t="shared" si="2"/>
        <v>83847</v>
      </c>
      <c r="D66" s="51">
        <v>14710</v>
      </c>
    </row>
    <row r="67" spans="1:4">
      <c r="A67" s="14" t="s">
        <v>85</v>
      </c>
      <c r="B67" s="26" t="s">
        <v>467</v>
      </c>
      <c r="C67" s="61">
        <f t="shared" si="2"/>
        <v>152589</v>
      </c>
      <c r="D67" s="51">
        <v>26770</v>
      </c>
    </row>
    <row r="68" spans="1:4">
      <c r="A68" s="14" t="s">
        <v>86</v>
      </c>
      <c r="B68" s="26" t="s">
        <v>468</v>
      </c>
      <c r="C68" s="61">
        <f t="shared" si="2"/>
        <v>763230</v>
      </c>
      <c r="D68" s="51">
        <v>133900</v>
      </c>
    </row>
    <row r="69" spans="1:4">
      <c r="A69" s="14" t="s">
        <v>87</v>
      </c>
      <c r="B69" s="26" t="s">
        <v>508</v>
      </c>
      <c r="C69" s="61">
        <f t="shared" si="2"/>
        <v>8436</v>
      </c>
      <c r="D69" s="51">
        <v>1480</v>
      </c>
    </row>
    <row r="70" spans="1:4">
      <c r="A70" s="14" t="s">
        <v>88</v>
      </c>
      <c r="B70" s="26" t="s">
        <v>469</v>
      </c>
      <c r="C70" s="61">
        <f t="shared" si="2"/>
        <v>19209</v>
      </c>
      <c r="D70" s="51">
        <v>3370</v>
      </c>
    </row>
    <row r="71" spans="1:4">
      <c r="A71" s="14" t="s">
        <v>89</v>
      </c>
      <c r="B71" s="26" t="s">
        <v>509</v>
      </c>
      <c r="C71" s="61">
        <f t="shared" si="2"/>
        <v>34941</v>
      </c>
      <c r="D71" s="51">
        <v>6130</v>
      </c>
    </row>
    <row r="72" spans="1:4">
      <c r="A72" s="14" t="s">
        <v>90</v>
      </c>
      <c r="B72" s="26" t="s">
        <v>510</v>
      </c>
      <c r="C72" s="61">
        <f t="shared" si="2"/>
        <v>63555</v>
      </c>
      <c r="D72" s="51">
        <v>11150</v>
      </c>
    </row>
    <row r="73" spans="1:4">
      <c r="A73" s="14" t="s">
        <v>91</v>
      </c>
      <c r="B73" s="26" t="s">
        <v>511</v>
      </c>
      <c r="C73" s="61">
        <f t="shared" si="2"/>
        <v>318003</v>
      </c>
      <c r="D73" s="51">
        <v>55790</v>
      </c>
    </row>
    <row r="74" spans="1:4">
      <c r="A74" s="14" t="s">
        <v>92</v>
      </c>
      <c r="B74" s="17" t="s">
        <v>512</v>
      </c>
      <c r="C74" s="61">
        <f t="shared" si="2"/>
        <v>673341</v>
      </c>
      <c r="D74" s="51">
        <v>118130</v>
      </c>
    </row>
    <row r="75" spans="1:4">
      <c r="A75" s="14" t="s">
        <v>93</v>
      </c>
      <c r="B75" s="17" t="s">
        <v>513</v>
      </c>
      <c r="C75" s="61">
        <f t="shared" si="2"/>
        <v>1864584</v>
      </c>
      <c r="D75" s="51">
        <v>327120</v>
      </c>
    </row>
    <row r="76" spans="1:4">
      <c r="A76" s="14" t="s">
        <v>94</v>
      </c>
      <c r="B76" s="26" t="s">
        <v>470</v>
      </c>
      <c r="C76" s="61">
        <f t="shared" si="2"/>
        <v>5904687</v>
      </c>
      <c r="D76" s="51">
        <v>1035910</v>
      </c>
    </row>
    <row r="77" spans="1:4">
      <c r="A77" s="14" t="s">
        <v>151</v>
      </c>
      <c r="B77" s="17" t="s">
        <v>646</v>
      </c>
      <c r="C77" s="61">
        <f t="shared" si="2"/>
        <v>734673</v>
      </c>
      <c r="D77" s="51">
        <v>128890</v>
      </c>
    </row>
    <row r="78" spans="1:4">
      <c r="A78" s="14" t="s">
        <v>152</v>
      </c>
      <c r="B78" s="17" t="s">
        <v>647</v>
      </c>
      <c r="C78" s="61">
        <f t="shared" si="2"/>
        <v>619704</v>
      </c>
      <c r="D78" s="51">
        <v>108720</v>
      </c>
    </row>
    <row r="79" spans="1:4">
      <c r="A79" s="14" t="s">
        <v>153</v>
      </c>
      <c r="B79" s="17" t="s">
        <v>648</v>
      </c>
      <c r="C79" s="61">
        <f t="shared" si="2"/>
        <v>37563</v>
      </c>
      <c r="D79" s="51">
        <v>6590</v>
      </c>
    </row>
    <row r="80" spans="1:4">
      <c r="A80" s="14" t="s">
        <v>154</v>
      </c>
      <c r="B80" s="17" t="s">
        <v>649</v>
      </c>
      <c r="C80" s="61">
        <f t="shared" si="2"/>
        <v>170430</v>
      </c>
      <c r="D80" s="51">
        <v>29900</v>
      </c>
    </row>
    <row r="81" spans="1:4">
      <c r="A81" s="14" t="s">
        <v>155</v>
      </c>
      <c r="B81" s="17" t="s">
        <v>650</v>
      </c>
      <c r="C81" s="61">
        <f t="shared" si="2"/>
        <v>313215</v>
      </c>
      <c r="D81" s="51">
        <v>54950</v>
      </c>
    </row>
    <row r="82" spans="1:4">
      <c r="A82" s="14" t="s">
        <v>156</v>
      </c>
      <c r="B82" s="17" t="s">
        <v>652</v>
      </c>
      <c r="C82" s="61">
        <f t="shared" si="2"/>
        <v>857508</v>
      </c>
      <c r="D82" s="51">
        <v>150440</v>
      </c>
    </row>
    <row r="83" spans="1:4">
      <c r="A83" s="14" t="s">
        <v>157</v>
      </c>
      <c r="B83" s="17" t="s">
        <v>651</v>
      </c>
      <c r="C83" s="61">
        <f t="shared" si="2"/>
        <v>1576164</v>
      </c>
      <c r="D83" s="51">
        <v>276520</v>
      </c>
    </row>
    <row r="84" spans="1:4">
      <c r="A84" s="14" t="s">
        <v>158</v>
      </c>
      <c r="B84" s="17" t="s">
        <v>653</v>
      </c>
      <c r="C84" s="61">
        <f t="shared" si="2"/>
        <v>133836</v>
      </c>
      <c r="D84" s="51">
        <v>23480</v>
      </c>
    </row>
    <row r="85" spans="1:4">
      <c r="A85" s="14" t="s">
        <v>159</v>
      </c>
      <c r="B85" s="17" t="s">
        <v>654</v>
      </c>
      <c r="C85" s="61">
        <f t="shared" si="2"/>
        <v>267957</v>
      </c>
      <c r="D85" s="51">
        <v>47010</v>
      </c>
    </row>
    <row r="86" spans="1:4">
      <c r="A86" s="14" t="s">
        <v>160</v>
      </c>
      <c r="B86" s="17" t="s">
        <v>655</v>
      </c>
      <c r="C86" s="61">
        <f t="shared" si="2"/>
        <v>37563</v>
      </c>
      <c r="D86" s="51">
        <v>6590</v>
      </c>
    </row>
    <row r="87" spans="1:4">
      <c r="A87" s="14" t="s">
        <v>161</v>
      </c>
      <c r="B87" s="17" t="s">
        <v>656</v>
      </c>
      <c r="C87" s="61">
        <f t="shared" si="2"/>
        <v>170430</v>
      </c>
      <c r="D87" s="51">
        <v>29900</v>
      </c>
    </row>
    <row r="88" spans="1:4">
      <c r="A88" s="14" t="s">
        <v>162</v>
      </c>
      <c r="B88" s="17" t="s">
        <v>657</v>
      </c>
      <c r="C88" s="61">
        <f t="shared" si="2"/>
        <v>313215</v>
      </c>
      <c r="D88" s="51">
        <v>54950</v>
      </c>
    </row>
    <row r="89" spans="1:4">
      <c r="A89" s="14" t="s">
        <v>163</v>
      </c>
      <c r="B89" s="17" t="s">
        <v>659</v>
      </c>
      <c r="C89" s="61">
        <f t="shared" si="2"/>
        <v>857508</v>
      </c>
      <c r="D89" s="51">
        <v>150440</v>
      </c>
    </row>
    <row r="90" spans="1:4">
      <c r="A90" s="14" t="s">
        <v>164</v>
      </c>
      <c r="B90" s="17" t="s">
        <v>658</v>
      </c>
      <c r="C90" s="61">
        <f t="shared" si="2"/>
        <v>1576164</v>
      </c>
      <c r="D90" s="51">
        <v>276520</v>
      </c>
    </row>
    <row r="91" spans="1:4">
      <c r="A91" s="14" t="s">
        <v>165</v>
      </c>
      <c r="B91" s="17" t="s">
        <v>660</v>
      </c>
      <c r="C91" s="61">
        <f t="shared" si="2"/>
        <v>40926</v>
      </c>
      <c r="D91" s="51">
        <v>7180</v>
      </c>
    </row>
    <row r="92" spans="1:4">
      <c r="A92" s="14" t="s">
        <v>166</v>
      </c>
      <c r="B92" s="17" t="s">
        <v>661</v>
      </c>
      <c r="C92" s="61">
        <f t="shared" si="2"/>
        <v>80997</v>
      </c>
      <c r="D92" s="51">
        <v>14210</v>
      </c>
    </row>
    <row r="93" spans="1:4">
      <c r="A93" s="14" t="s">
        <v>167</v>
      </c>
      <c r="B93" s="26" t="s">
        <v>662</v>
      </c>
      <c r="C93" s="61">
        <f t="shared" si="2"/>
        <v>26277</v>
      </c>
      <c r="D93" s="51">
        <v>4610</v>
      </c>
    </row>
    <row r="94" spans="1:4">
      <c r="A94" s="14" t="s">
        <v>168</v>
      </c>
      <c r="B94" s="26" t="s">
        <v>663</v>
      </c>
      <c r="C94" s="61">
        <f t="shared" si="2"/>
        <v>191235</v>
      </c>
      <c r="D94" s="51">
        <v>33550</v>
      </c>
    </row>
    <row r="95" spans="1:4">
      <c r="A95" s="14" t="s">
        <v>169</v>
      </c>
      <c r="B95" s="26" t="s">
        <v>664</v>
      </c>
      <c r="C95" s="61">
        <f t="shared" si="2"/>
        <v>5529</v>
      </c>
      <c r="D95" s="51">
        <v>970</v>
      </c>
    </row>
    <row r="96" spans="1:4">
      <c r="A96" s="14" t="s">
        <v>170</v>
      </c>
      <c r="B96" s="26" t="s">
        <v>665</v>
      </c>
      <c r="C96" s="61">
        <f t="shared" si="2"/>
        <v>35682</v>
      </c>
      <c r="D96" s="51">
        <v>6260</v>
      </c>
    </row>
    <row r="97" spans="1:4">
      <c r="A97" s="14" t="s">
        <v>171</v>
      </c>
      <c r="B97" s="26" t="s">
        <v>666</v>
      </c>
      <c r="C97" s="61">
        <f t="shared" ref="C97:C128" si="3">D97*курс_рубля</f>
        <v>8037</v>
      </c>
      <c r="D97" s="51">
        <v>1410</v>
      </c>
    </row>
    <row r="98" spans="1:4">
      <c r="A98" s="14" t="s">
        <v>172</v>
      </c>
      <c r="B98" s="26" t="s">
        <v>667</v>
      </c>
      <c r="C98" s="61">
        <f t="shared" si="3"/>
        <v>117705</v>
      </c>
      <c r="D98" s="51">
        <v>20650</v>
      </c>
    </row>
    <row r="99" spans="1:4" ht="28.8">
      <c r="A99" s="14" t="s">
        <v>173</v>
      </c>
      <c r="B99" s="26" t="s">
        <v>668</v>
      </c>
      <c r="C99" s="61">
        <f t="shared" si="3"/>
        <v>121980</v>
      </c>
      <c r="D99" s="51">
        <v>21400</v>
      </c>
    </row>
    <row r="100" spans="1:4">
      <c r="A100" s="14" t="s">
        <v>174</v>
      </c>
      <c r="B100" s="21" t="s">
        <v>669</v>
      </c>
      <c r="C100" s="61">
        <f t="shared" si="3"/>
        <v>80997</v>
      </c>
      <c r="D100" s="51">
        <v>14210</v>
      </c>
    </row>
    <row r="101" spans="1:4">
      <c r="A101" s="14" t="s">
        <v>175</v>
      </c>
      <c r="B101" s="21" t="s">
        <v>670</v>
      </c>
      <c r="C101" s="61">
        <f t="shared" si="3"/>
        <v>26277</v>
      </c>
      <c r="D101" s="51">
        <v>4610</v>
      </c>
    </row>
    <row r="102" spans="1:4">
      <c r="A102" s="14" t="s">
        <v>176</v>
      </c>
      <c r="B102" s="21" t="s">
        <v>671</v>
      </c>
      <c r="C102" s="61">
        <f t="shared" si="3"/>
        <v>191235</v>
      </c>
      <c r="D102" s="51">
        <v>33550</v>
      </c>
    </row>
    <row r="103" spans="1:4">
      <c r="A103" s="14" t="s">
        <v>177</v>
      </c>
      <c r="B103" s="12" t="s">
        <v>677</v>
      </c>
      <c r="C103" s="61">
        <f t="shared" si="3"/>
        <v>5529</v>
      </c>
      <c r="D103" s="51">
        <v>970</v>
      </c>
    </row>
    <row r="104" spans="1:4">
      <c r="A104" s="14" t="s">
        <v>178</v>
      </c>
      <c r="B104" s="12" t="s">
        <v>672</v>
      </c>
      <c r="C104" s="61">
        <f t="shared" si="3"/>
        <v>35682</v>
      </c>
      <c r="D104" s="51">
        <v>6260</v>
      </c>
    </row>
    <row r="105" spans="1:4">
      <c r="A105" s="14" t="s">
        <v>179</v>
      </c>
      <c r="B105" s="26" t="s">
        <v>673</v>
      </c>
      <c r="C105" s="61">
        <f t="shared" si="3"/>
        <v>8094</v>
      </c>
      <c r="D105" s="51">
        <v>1420</v>
      </c>
    </row>
    <row r="106" spans="1:4">
      <c r="A106" s="14" t="s">
        <v>180</v>
      </c>
      <c r="B106" s="26" t="s">
        <v>674</v>
      </c>
      <c r="C106" s="61">
        <f t="shared" si="3"/>
        <v>117705</v>
      </c>
      <c r="D106" s="51">
        <v>20650</v>
      </c>
    </row>
    <row r="107" spans="1:4">
      <c r="A107" s="14" t="s">
        <v>181</v>
      </c>
      <c r="B107" s="21" t="s">
        <v>675</v>
      </c>
      <c r="C107" s="61">
        <f t="shared" si="3"/>
        <v>121980</v>
      </c>
      <c r="D107" s="51">
        <v>21400</v>
      </c>
    </row>
    <row r="108" spans="1:4">
      <c r="A108" s="14" t="s">
        <v>182</v>
      </c>
      <c r="B108" s="26" t="s">
        <v>676</v>
      </c>
      <c r="C108" s="61">
        <f t="shared" si="3"/>
        <v>392502</v>
      </c>
      <c r="D108" s="51">
        <v>68860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B26" sqref="B26"/>
    </sheetView>
  </sheetViews>
  <sheetFormatPr defaultRowHeight="14.4"/>
  <cols>
    <col min="1" max="1" width="18.5546875" customWidth="1"/>
    <col min="2" max="2" width="87.6640625" customWidth="1"/>
  </cols>
  <sheetData>
    <row r="1" spans="1:4">
      <c r="A1" s="14" t="s">
        <v>17</v>
      </c>
      <c r="B1" s="17" t="s">
        <v>482</v>
      </c>
      <c r="C1" s="61">
        <f>D1*курс_рубля</f>
        <v>188841</v>
      </c>
      <c r="D1" s="51">
        <v>33130</v>
      </c>
    </row>
    <row r="2" spans="1:4">
      <c r="A2" s="14" t="s">
        <v>18</v>
      </c>
      <c r="B2" s="17"/>
      <c r="C2" s="61">
        <f>D2*курс_рубля</f>
        <v>356592</v>
      </c>
      <c r="D2" s="51">
        <v>62560</v>
      </c>
    </row>
    <row r="3" spans="1:4">
      <c r="A3" s="17"/>
      <c r="B3" s="33" t="s">
        <v>2356</v>
      </c>
      <c r="C3" s="61"/>
      <c r="D3" s="53"/>
    </row>
    <row r="4" spans="1:4">
      <c r="A4" s="17" t="s">
        <v>329</v>
      </c>
      <c r="B4" s="32" t="s">
        <v>263</v>
      </c>
      <c r="C4" s="61">
        <v>153000</v>
      </c>
      <c r="D4" s="53"/>
    </row>
    <row r="5" spans="1:4">
      <c r="A5" s="17" t="s">
        <v>329</v>
      </c>
      <c r="B5" s="17" t="s">
        <v>264</v>
      </c>
      <c r="C5" s="61">
        <v>225000</v>
      </c>
      <c r="D5" s="53"/>
    </row>
    <row r="6" spans="1:4">
      <c r="A6" s="17" t="s">
        <v>329</v>
      </c>
      <c r="B6" s="17" t="s">
        <v>265</v>
      </c>
      <c r="C6" s="61">
        <v>299700</v>
      </c>
      <c r="D6" s="53"/>
    </row>
    <row r="7" spans="1:4">
      <c r="A7" s="17" t="s">
        <v>329</v>
      </c>
      <c r="B7" s="17" t="s">
        <v>266</v>
      </c>
      <c r="C7" s="61">
        <v>51500</v>
      </c>
      <c r="D7" s="53"/>
    </row>
    <row r="8" spans="1:4">
      <c r="A8" s="17" t="s">
        <v>329</v>
      </c>
      <c r="B8" s="17" t="s">
        <v>267</v>
      </c>
      <c r="C8" s="61">
        <v>101400</v>
      </c>
      <c r="D8" s="53"/>
    </row>
    <row r="9" spans="1:4">
      <c r="A9" s="17" t="s">
        <v>329</v>
      </c>
      <c r="B9" s="17" t="s">
        <v>268</v>
      </c>
      <c r="C9" s="61">
        <v>151300</v>
      </c>
      <c r="D9" s="53"/>
    </row>
    <row r="10" spans="1:4">
      <c r="A10" s="17" t="s">
        <v>329</v>
      </c>
      <c r="B10" s="17" t="s">
        <v>269</v>
      </c>
      <c r="C10" s="61">
        <v>12800</v>
      </c>
      <c r="D10" s="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2"/>
  <sheetViews>
    <sheetView workbookViewId="0">
      <selection activeCell="G38" sqref="G38"/>
    </sheetView>
  </sheetViews>
  <sheetFormatPr defaultRowHeight="14.4"/>
  <cols>
    <col min="1" max="1" width="13" customWidth="1"/>
    <col min="2" max="2" width="62.109375" customWidth="1"/>
    <col min="3" max="3" width="13.33203125" customWidth="1"/>
    <col min="4" max="4" width="11.5546875" customWidth="1"/>
  </cols>
  <sheetData>
    <row r="1" spans="1:4" ht="15.6">
      <c r="A1" s="5"/>
      <c r="B1" s="1" t="s">
        <v>1</v>
      </c>
      <c r="C1" s="60"/>
      <c r="D1" s="55"/>
    </row>
    <row r="2" spans="1:4">
      <c r="A2" s="7"/>
      <c r="B2" s="24" t="s">
        <v>2352</v>
      </c>
      <c r="C2" s="61"/>
      <c r="D2" s="51"/>
    </row>
    <row r="3" spans="1:4">
      <c r="A3" s="14" t="s">
        <v>338</v>
      </c>
      <c r="B3" s="17" t="s">
        <v>337</v>
      </c>
      <c r="C3" s="61">
        <f t="shared" ref="C3:C8" si="0">D3*курс_рубля</f>
        <v>606561.68099999998</v>
      </c>
      <c r="D3" s="51">
        <v>106414.33</v>
      </c>
    </row>
    <row r="4" spans="1:4">
      <c r="A4" s="14" t="s">
        <v>344</v>
      </c>
      <c r="B4" s="17" t="s">
        <v>343</v>
      </c>
      <c r="C4" s="61">
        <f t="shared" si="0"/>
        <v>1117770</v>
      </c>
      <c r="D4" s="51">
        <v>196100</v>
      </c>
    </row>
    <row r="5" spans="1:4">
      <c r="A5" s="14" t="s">
        <v>95</v>
      </c>
      <c r="B5" s="15" t="s">
        <v>345</v>
      </c>
      <c r="C5" s="61">
        <f t="shared" si="0"/>
        <v>395238</v>
      </c>
      <c r="D5" s="51">
        <v>69340</v>
      </c>
    </row>
    <row r="6" spans="1:4">
      <c r="A6" s="14" t="s">
        <v>340</v>
      </c>
      <c r="B6" s="17" t="s">
        <v>339</v>
      </c>
      <c r="C6" s="61">
        <f t="shared" si="0"/>
        <v>272118</v>
      </c>
      <c r="D6" s="51">
        <v>47740</v>
      </c>
    </row>
    <row r="7" spans="1:4" ht="28.8">
      <c r="A7" s="14" t="s">
        <v>341</v>
      </c>
      <c r="B7" s="15" t="s">
        <v>342</v>
      </c>
      <c r="C7" s="61">
        <f t="shared" si="0"/>
        <v>286026</v>
      </c>
      <c r="D7" s="51">
        <v>50180</v>
      </c>
    </row>
    <row r="8" spans="1:4">
      <c r="A8" s="14" t="s">
        <v>722</v>
      </c>
      <c r="B8" s="15" t="s">
        <v>721</v>
      </c>
      <c r="C8" s="61">
        <f t="shared" si="0"/>
        <v>120612</v>
      </c>
      <c r="D8" s="51">
        <v>21160</v>
      </c>
    </row>
    <row r="9" spans="1:4">
      <c r="A9" s="18"/>
      <c r="B9" s="34" t="s">
        <v>278</v>
      </c>
      <c r="C9" s="64"/>
      <c r="D9" s="64"/>
    </row>
    <row r="10" spans="1:4">
      <c r="A10" s="17" t="s">
        <v>310</v>
      </c>
      <c r="B10" s="14" t="s">
        <v>243</v>
      </c>
      <c r="C10" s="61">
        <v>98000</v>
      </c>
      <c r="D10" s="53"/>
    </row>
    <row r="11" spans="1:4" ht="28.8">
      <c r="A11" s="17" t="s">
        <v>325</v>
      </c>
      <c r="B11" s="17" t="s">
        <v>244</v>
      </c>
      <c r="C11" s="61">
        <v>195200</v>
      </c>
      <c r="D11" s="53"/>
    </row>
    <row r="12" spans="1:4" ht="28.8">
      <c r="A12" s="17" t="s">
        <v>311</v>
      </c>
      <c r="B12" s="17" t="s">
        <v>245</v>
      </c>
      <c r="C12" s="61">
        <v>245000</v>
      </c>
      <c r="D12" s="53"/>
    </row>
    <row r="13" spans="1:4" ht="28.8">
      <c r="A13" s="17" t="s">
        <v>324</v>
      </c>
      <c r="B13" s="17" t="s">
        <v>246</v>
      </c>
      <c r="C13" s="61">
        <v>294000</v>
      </c>
      <c r="D13" s="53"/>
    </row>
    <row r="14" spans="1:4" ht="28.8">
      <c r="A14" s="17" t="s">
        <v>312</v>
      </c>
      <c r="B14" s="17" t="s">
        <v>247</v>
      </c>
      <c r="C14" s="61">
        <v>392000</v>
      </c>
      <c r="D14" s="53"/>
    </row>
    <row r="15" spans="1:4" ht="28.8">
      <c r="A15" s="17" t="s">
        <v>313</v>
      </c>
      <c r="B15" s="17" t="s">
        <v>248</v>
      </c>
      <c r="C15" s="61">
        <v>637000</v>
      </c>
      <c r="D15" s="53"/>
    </row>
    <row r="16" spans="1:4">
      <c r="A16" s="17" t="s">
        <v>314</v>
      </c>
      <c r="B16" s="17" t="s">
        <v>249</v>
      </c>
      <c r="C16" s="61">
        <v>500500</v>
      </c>
      <c r="D16" s="53"/>
    </row>
    <row r="17" spans="1:4" ht="28.8">
      <c r="A17" s="17" t="s">
        <v>315</v>
      </c>
      <c r="B17" s="17" t="s">
        <v>250</v>
      </c>
      <c r="C17" s="61">
        <v>920500</v>
      </c>
      <c r="D17" s="53"/>
    </row>
    <row r="18" spans="1:4">
      <c r="A18" s="17" t="s">
        <v>316</v>
      </c>
      <c r="B18" s="17" t="s">
        <v>251</v>
      </c>
      <c r="C18" s="61">
        <v>1207500</v>
      </c>
      <c r="D18" s="53"/>
    </row>
    <row r="19" spans="1:4">
      <c r="A19" s="17" t="s">
        <v>317</v>
      </c>
      <c r="B19" s="17" t="s">
        <v>252</v>
      </c>
      <c r="C19" s="61">
        <v>315000</v>
      </c>
      <c r="D19" s="53"/>
    </row>
    <row r="20" spans="1:4" ht="15.6">
      <c r="A20" s="17"/>
      <c r="B20" s="29" t="s">
        <v>2357</v>
      </c>
      <c r="C20" s="61"/>
      <c r="D20" s="53"/>
    </row>
    <row r="21" spans="1:4" ht="28.8">
      <c r="A21" s="17" t="s">
        <v>562</v>
      </c>
      <c r="B21" s="36" t="s">
        <v>747</v>
      </c>
      <c r="C21" s="61">
        <v>120000</v>
      </c>
      <c r="D21" s="53"/>
    </row>
    <row r="22" spans="1:4">
      <c r="A22" s="17" t="s">
        <v>563</v>
      </c>
      <c r="B22" s="36" t="s">
        <v>748</v>
      </c>
      <c r="C22" s="61">
        <v>132000</v>
      </c>
      <c r="D22" s="53"/>
    </row>
    <row r="23" spans="1:4" ht="15.6">
      <c r="A23" s="17"/>
      <c r="B23" s="29" t="s">
        <v>569</v>
      </c>
      <c r="C23" s="61"/>
      <c r="D23" s="53"/>
    </row>
    <row r="24" spans="1:4">
      <c r="A24" s="17" t="s">
        <v>570</v>
      </c>
      <c r="B24" s="17" t="s">
        <v>888</v>
      </c>
      <c r="C24" s="61">
        <v>214000</v>
      </c>
      <c r="D24" s="53"/>
    </row>
    <row r="25" spans="1:4">
      <c r="A25" s="17" t="s">
        <v>571</v>
      </c>
      <c r="B25" s="17" t="s">
        <v>889</v>
      </c>
      <c r="C25" s="61">
        <v>226000</v>
      </c>
      <c r="D25" s="53"/>
    </row>
    <row r="26" spans="1:4" ht="28.8">
      <c r="A26" s="21" t="s">
        <v>572</v>
      </c>
      <c r="B26" s="37" t="s">
        <v>755</v>
      </c>
      <c r="C26" s="61">
        <v>552000</v>
      </c>
      <c r="D26" s="53"/>
    </row>
    <row r="27" spans="1:4">
      <c r="A27" s="21" t="s">
        <v>573</v>
      </c>
      <c r="B27" s="38" t="s">
        <v>756</v>
      </c>
      <c r="C27" s="61">
        <v>940000</v>
      </c>
      <c r="D27" s="53"/>
    </row>
    <row r="28" spans="1:4">
      <c r="A28" s="21" t="s">
        <v>574</v>
      </c>
      <c r="B28" s="37" t="s">
        <v>757</v>
      </c>
      <c r="C28" s="61">
        <v>1645000</v>
      </c>
      <c r="D28" s="53"/>
    </row>
    <row r="29" spans="1:4" ht="15.6">
      <c r="A29" s="10"/>
      <c r="B29" s="29" t="s">
        <v>597</v>
      </c>
      <c r="C29" s="61"/>
      <c r="D29" s="53"/>
    </row>
    <row r="30" spans="1:4">
      <c r="A30" s="9" t="s">
        <v>613</v>
      </c>
      <c r="B30" s="36" t="s">
        <v>780</v>
      </c>
      <c r="C30" s="61">
        <v>132000</v>
      </c>
      <c r="D30" s="53"/>
    </row>
    <row r="31" spans="1:4" ht="28.8">
      <c r="A31" s="9" t="s">
        <v>614</v>
      </c>
      <c r="B31" s="36" t="s">
        <v>781</v>
      </c>
      <c r="C31" s="61">
        <v>132000</v>
      </c>
      <c r="D31" s="53"/>
    </row>
    <row r="32" spans="1:4" ht="28.8">
      <c r="A32" s="9" t="s">
        <v>615</v>
      </c>
      <c r="B32" s="36" t="s">
        <v>782</v>
      </c>
      <c r="C32" s="61">
        <v>138000</v>
      </c>
      <c r="D32" s="53"/>
    </row>
    <row r="33" spans="1:4" ht="15.6">
      <c r="A33" s="48"/>
      <c r="B33" s="49" t="s">
        <v>820</v>
      </c>
      <c r="C33" s="66"/>
      <c r="D33" s="66"/>
    </row>
    <row r="34" spans="1:4">
      <c r="A34" s="44"/>
      <c r="B34" s="44" t="s">
        <v>875</v>
      </c>
      <c r="C34" s="61"/>
      <c r="D34" s="53"/>
    </row>
    <row r="35" spans="1:4" ht="43.2">
      <c r="A35" s="44" t="s">
        <v>876</v>
      </c>
      <c r="B35" s="45" t="s">
        <v>877</v>
      </c>
      <c r="C35" s="164">
        <f t="shared" ref="C35:C42" si="1">D35*317.5</f>
        <v>130492.5</v>
      </c>
      <c r="D35" s="160">
        <v>411</v>
      </c>
    </row>
    <row r="36" spans="1:4">
      <c r="A36" s="158" t="s">
        <v>2647</v>
      </c>
      <c r="B36" s="159" t="s">
        <v>2648</v>
      </c>
      <c r="C36" s="164">
        <f t="shared" si="1"/>
        <v>133667.5</v>
      </c>
      <c r="D36" s="160">
        <v>421</v>
      </c>
    </row>
    <row r="37" spans="1:4" ht="43.2">
      <c r="A37" s="44" t="s">
        <v>878</v>
      </c>
      <c r="B37" s="45" t="s">
        <v>879</v>
      </c>
      <c r="C37" s="164">
        <f t="shared" si="1"/>
        <v>166687.5</v>
      </c>
      <c r="D37" s="160">
        <v>525</v>
      </c>
    </row>
    <row r="38" spans="1:4" ht="28.8">
      <c r="A38" s="158" t="s">
        <v>2649</v>
      </c>
      <c r="B38" s="159" t="s">
        <v>2650</v>
      </c>
      <c r="C38" s="164">
        <f t="shared" si="1"/>
        <v>173037.5</v>
      </c>
      <c r="D38" s="160">
        <v>545</v>
      </c>
    </row>
    <row r="39" spans="1:4" ht="43.2">
      <c r="A39" s="44" t="s">
        <v>880</v>
      </c>
      <c r="B39" s="45" t="s">
        <v>881</v>
      </c>
      <c r="C39" s="164">
        <f t="shared" si="1"/>
        <v>276542.5</v>
      </c>
      <c r="D39" s="160">
        <v>871</v>
      </c>
    </row>
    <row r="40" spans="1:4" ht="28.8">
      <c r="A40" s="158" t="s">
        <v>2651</v>
      </c>
      <c r="B40" s="159" t="s">
        <v>2652</v>
      </c>
      <c r="C40" s="164">
        <f t="shared" si="1"/>
        <v>285432.5</v>
      </c>
      <c r="D40" s="160">
        <v>899</v>
      </c>
    </row>
    <row r="41" spans="1:4" ht="43.2">
      <c r="A41" s="44" t="s">
        <v>882</v>
      </c>
      <c r="B41" s="45" t="s">
        <v>883</v>
      </c>
      <c r="C41" s="164">
        <f t="shared" si="1"/>
        <v>502920</v>
      </c>
      <c r="D41" s="160">
        <v>1584</v>
      </c>
    </row>
    <row r="42" spans="1:4" ht="43.2">
      <c r="A42" s="44" t="s">
        <v>884</v>
      </c>
      <c r="B42" s="45" t="s">
        <v>885</v>
      </c>
      <c r="C42" s="164">
        <f t="shared" si="1"/>
        <v>585787.5</v>
      </c>
      <c r="D42" s="160">
        <v>1845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3"/>
  <sheetViews>
    <sheetView topLeftCell="A94" workbookViewId="0">
      <selection activeCell="G62" sqref="G62"/>
    </sheetView>
  </sheetViews>
  <sheetFormatPr defaultRowHeight="14.4"/>
  <cols>
    <col min="1" max="1" width="16.44140625" customWidth="1"/>
    <col min="2" max="2" width="81" customWidth="1"/>
    <col min="3" max="3" width="11.44140625" customWidth="1"/>
  </cols>
  <sheetData>
    <row r="1" spans="1:4">
      <c r="A1" s="14" t="s">
        <v>3</v>
      </c>
      <c r="B1" s="25" t="s">
        <v>414</v>
      </c>
      <c r="C1" s="61">
        <f t="shared" ref="C1:C32" si="0">D1*курс_рубля</f>
        <v>471219</v>
      </c>
      <c r="D1" s="51">
        <v>82670</v>
      </c>
    </row>
    <row r="2" spans="1:4">
      <c r="A2" s="14" t="s">
        <v>4</v>
      </c>
      <c r="B2" s="25" t="s">
        <v>415</v>
      </c>
      <c r="C2" s="61">
        <f t="shared" si="0"/>
        <v>155097</v>
      </c>
      <c r="D2" s="51">
        <v>27210</v>
      </c>
    </row>
    <row r="3" spans="1:4">
      <c r="A3" s="14" t="s">
        <v>5</v>
      </c>
      <c r="B3" s="25" t="s">
        <v>416</v>
      </c>
      <c r="C3" s="61">
        <f t="shared" si="0"/>
        <v>308028</v>
      </c>
      <c r="D3" s="51">
        <v>54040</v>
      </c>
    </row>
    <row r="4" spans="1:4">
      <c r="A4" s="14" t="s">
        <v>6</v>
      </c>
      <c r="B4" s="25" t="s">
        <v>417</v>
      </c>
      <c r="C4" s="61">
        <f t="shared" si="0"/>
        <v>613890</v>
      </c>
      <c r="D4" s="51">
        <v>107700</v>
      </c>
    </row>
    <row r="5" spans="1:4">
      <c r="A5" s="14" t="s">
        <v>7</v>
      </c>
      <c r="B5" s="25" t="s">
        <v>418</v>
      </c>
      <c r="C5" s="61">
        <f t="shared" si="0"/>
        <v>205333.40849999999</v>
      </c>
      <c r="D5" s="51">
        <v>36023.404999999999</v>
      </c>
    </row>
    <row r="6" spans="1:4">
      <c r="A6" s="15" t="s">
        <v>420</v>
      </c>
      <c r="B6" s="15" t="s">
        <v>419</v>
      </c>
      <c r="C6" s="61">
        <f t="shared" si="0"/>
        <v>349108.78899082571</v>
      </c>
      <c r="D6" s="51">
        <v>61247.15596330275</v>
      </c>
    </row>
    <row r="7" spans="1:4">
      <c r="A7" s="14" t="s">
        <v>8</v>
      </c>
      <c r="B7" s="15" t="s">
        <v>421</v>
      </c>
      <c r="C7" s="61">
        <f t="shared" si="0"/>
        <v>337948.92450000002</v>
      </c>
      <c r="D7" s="51">
        <v>59289.285000000003</v>
      </c>
    </row>
    <row r="8" spans="1:4">
      <c r="A8" s="14" t="s">
        <v>9</v>
      </c>
      <c r="B8" s="15" t="s">
        <v>422</v>
      </c>
      <c r="C8" s="61">
        <f t="shared" si="0"/>
        <v>408332.90924999997</v>
      </c>
      <c r="D8" s="51">
        <v>71637.352499999994</v>
      </c>
    </row>
    <row r="9" spans="1:4">
      <c r="A9" s="14" t="s">
        <v>10</v>
      </c>
      <c r="B9" s="15" t="s">
        <v>423</v>
      </c>
      <c r="C9" s="61">
        <f t="shared" si="0"/>
        <v>713617.28549999988</v>
      </c>
      <c r="D9" s="51">
        <v>125196.01499999998</v>
      </c>
    </row>
    <row r="10" spans="1:4">
      <c r="A10" s="14" t="s">
        <v>11</v>
      </c>
      <c r="B10" s="15" t="s">
        <v>424</v>
      </c>
      <c r="C10" s="61">
        <f t="shared" si="0"/>
        <v>1018922.3100000002</v>
      </c>
      <c r="D10" s="51">
        <v>178758.30000000002</v>
      </c>
    </row>
    <row r="11" spans="1:4">
      <c r="A11" s="14" t="s">
        <v>12</v>
      </c>
      <c r="B11" s="15" t="s">
        <v>426</v>
      </c>
      <c r="C11" s="61">
        <f t="shared" si="0"/>
        <v>46569</v>
      </c>
      <c r="D11" s="51">
        <v>8170</v>
      </c>
    </row>
    <row r="12" spans="1:4" ht="28.8">
      <c r="A12" s="14" t="s">
        <v>13</v>
      </c>
      <c r="B12" s="15" t="s">
        <v>427</v>
      </c>
      <c r="C12" s="61">
        <f t="shared" si="0"/>
        <v>104880</v>
      </c>
      <c r="D12" s="51">
        <v>18400</v>
      </c>
    </row>
    <row r="13" spans="1:4" ht="28.8">
      <c r="A13" s="14" t="s">
        <v>14</v>
      </c>
      <c r="B13" s="15" t="s">
        <v>428</v>
      </c>
      <c r="C13" s="61">
        <f t="shared" si="0"/>
        <v>290529</v>
      </c>
      <c r="D13" s="51">
        <v>50970</v>
      </c>
    </row>
    <row r="14" spans="1:4">
      <c r="A14" s="14" t="s">
        <v>15</v>
      </c>
      <c r="B14" s="15" t="s">
        <v>429</v>
      </c>
      <c r="C14" s="61">
        <f t="shared" si="0"/>
        <v>591546</v>
      </c>
      <c r="D14" s="51">
        <v>103780</v>
      </c>
    </row>
    <row r="15" spans="1:4">
      <c r="A15" s="14" t="s">
        <v>16</v>
      </c>
      <c r="B15" s="17" t="s">
        <v>481</v>
      </c>
      <c r="C15" s="61">
        <f t="shared" si="0"/>
        <v>354312</v>
      </c>
      <c r="D15" s="51">
        <v>62160</v>
      </c>
    </row>
    <row r="16" spans="1:4">
      <c r="A16" s="14" t="s">
        <v>104</v>
      </c>
      <c r="B16" s="26" t="s">
        <v>515</v>
      </c>
      <c r="C16" s="61">
        <f t="shared" si="0"/>
        <v>123519</v>
      </c>
      <c r="D16" s="51">
        <v>21670</v>
      </c>
    </row>
    <row r="17" spans="1:4">
      <c r="A17" s="14" t="s">
        <v>105</v>
      </c>
      <c r="B17" s="26" t="s">
        <v>516</v>
      </c>
      <c r="C17" s="61">
        <f t="shared" si="0"/>
        <v>261573</v>
      </c>
      <c r="D17" s="51">
        <v>45890</v>
      </c>
    </row>
    <row r="18" spans="1:4">
      <c r="A18" s="14" t="s">
        <v>106</v>
      </c>
      <c r="B18" s="26" t="s">
        <v>517</v>
      </c>
      <c r="C18" s="61">
        <f t="shared" si="0"/>
        <v>534603</v>
      </c>
      <c r="D18" s="51">
        <v>93790</v>
      </c>
    </row>
    <row r="19" spans="1:4">
      <c r="A19" s="14" t="s">
        <v>107</v>
      </c>
      <c r="B19" s="26" t="s">
        <v>518</v>
      </c>
      <c r="C19" s="61">
        <f t="shared" si="0"/>
        <v>14364</v>
      </c>
      <c r="D19" s="51">
        <v>2520</v>
      </c>
    </row>
    <row r="20" spans="1:4">
      <c r="A20" s="14" t="s">
        <v>108</v>
      </c>
      <c r="B20" s="26" t="s">
        <v>519</v>
      </c>
      <c r="C20" s="61">
        <f t="shared" si="0"/>
        <v>58482</v>
      </c>
      <c r="D20" s="51">
        <v>10260</v>
      </c>
    </row>
    <row r="21" spans="1:4">
      <c r="A21" s="14" t="s">
        <v>109</v>
      </c>
      <c r="B21" s="17" t="s">
        <v>526</v>
      </c>
      <c r="C21" s="61">
        <f t="shared" si="0"/>
        <v>386061</v>
      </c>
      <c r="D21" s="51">
        <v>67730</v>
      </c>
    </row>
    <row r="22" spans="1:4">
      <c r="A22" s="14" t="s">
        <v>110</v>
      </c>
      <c r="B22" s="17" t="s">
        <v>528</v>
      </c>
      <c r="C22" s="61">
        <f t="shared" si="0"/>
        <v>674766</v>
      </c>
      <c r="D22" s="51">
        <v>118380</v>
      </c>
    </row>
    <row r="23" spans="1:4">
      <c r="A23" s="14" t="s">
        <v>111</v>
      </c>
      <c r="B23" s="17" t="s">
        <v>527</v>
      </c>
      <c r="C23" s="61">
        <f t="shared" si="0"/>
        <v>50331</v>
      </c>
      <c r="D23" s="51">
        <v>8830</v>
      </c>
    </row>
    <row r="24" spans="1:4">
      <c r="A24" s="14" t="s">
        <v>112</v>
      </c>
      <c r="B24" s="26" t="s">
        <v>520</v>
      </c>
      <c r="C24" s="61">
        <f t="shared" si="0"/>
        <v>56259</v>
      </c>
      <c r="D24" s="51">
        <v>9870</v>
      </c>
    </row>
    <row r="25" spans="1:4">
      <c r="A25" s="14" t="s">
        <v>113</v>
      </c>
      <c r="B25" s="26" t="s">
        <v>521</v>
      </c>
      <c r="C25" s="61">
        <f t="shared" si="0"/>
        <v>37677</v>
      </c>
      <c r="D25" s="51">
        <v>6610</v>
      </c>
    </row>
    <row r="26" spans="1:4">
      <c r="A26" s="14" t="s">
        <v>114</v>
      </c>
      <c r="B26" s="17" t="s">
        <v>529</v>
      </c>
      <c r="C26" s="61">
        <f t="shared" si="0"/>
        <v>107445</v>
      </c>
      <c r="D26" s="51">
        <v>18850</v>
      </c>
    </row>
    <row r="27" spans="1:4">
      <c r="A27" s="14" t="s">
        <v>115</v>
      </c>
      <c r="B27" s="26" t="s">
        <v>522</v>
      </c>
      <c r="C27" s="61">
        <f t="shared" si="0"/>
        <v>58938</v>
      </c>
      <c r="D27" s="51">
        <v>10340</v>
      </c>
    </row>
    <row r="28" spans="1:4">
      <c r="A28" s="14" t="s">
        <v>116</v>
      </c>
      <c r="B28" s="26" t="s">
        <v>523</v>
      </c>
      <c r="C28" s="61">
        <f t="shared" si="0"/>
        <v>88806</v>
      </c>
      <c r="D28" s="51">
        <v>15580</v>
      </c>
    </row>
    <row r="29" spans="1:4">
      <c r="A29" s="14" t="s">
        <v>117</v>
      </c>
      <c r="B29" s="26" t="s">
        <v>524</v>
      </c>
      <c r="C29" s="61">
        <f t="shared" si="0"/>
        <v>63612</v>
      </c>
      <c r="D29" s="51">
        <v>11160</v>
      </c>
    </row>
    <row r="30" spans="1:4">
      <c r="A30" s="14" t="s">
        <v>118</v>
      </c>
      <c r="B30" s="26" t="s">
        <v>525</v>
      </c>
      <c r="C30" s="61">
        <f t="shared" si="0"/>
        <v>288705</v>
      </c>
      <c r="D30" s="51">
        <v>50650</v>
      </c>
    </row>
    <row r="31" spans="1:4">
      <c r="A31" s="14" t="s">
        <v>119</v>
      </c>
      <c r="B31" s="21" t="s">
        <v>530</v>
      </c>
      <c r="C31" s="61">
        <f t="shared" si="0"/>
        <v>353913</v>
      </c>
      <c r="D31" s="51">
        <v>62090</v>
      </c>
    </row>
    <row r="32" spans="1:4">
      <c r="A32" s="14" t="s">
        <v>120</v>
      </c>
      <c r="B32" s="21" t="s">
        <v>531</v>
      </c>
      <c r="C32" s="61">
        <f t="shared" si="0"/>
        <v>209988</v>
      </c>
      <c r="D32" s="51">
        <v>36840</v>
      </c>
    </row>
    <row r="33" spans="1:4">
      <c r="A33" s="14" t="s">
        <v>121</v>
      </c>
      <c r="B33" s="21" t="s">
        <v>532</v>
      </c>
      <c r="C33" s="61">
        <f t="shared" ref="C33:C64" si="1">D33*курс_рубля</f>
        <v>402249</v>
      </c>
      <c r="D33" s="51">
        <v>70570</v>
      </c>
    </row>
    <row r="34" spans="1:4" ht="28.8">
      <c r="A34" s="14" t="s">
        <v>122</v>
      </c>
      <c r="B34" s="21" t="s">
        <v>533</v>
      </c>
      <c r="C34" s="61">
        <f t="shared" si="1"/>
        <v>88749</v>
      </c>
      <c r="D34" s="51">
        <v>15570</v>
      </c>
    </row>
    <row r="35" spans="1:4">
      <c r="A35" s="14" t="s">
        <v>123</v>
      </c>
      <c r="B35" s="17" t="s">
        <v>678</v>
      </c>
      <c r="C35" s="61">
        <f t="shared" si="1"/>
        <v>53580</v>
      </c>
      <c r="D35" s="51">
        <v>9400</v>
      </c>
    </row>
    <row r="36" spans="1:4">
      <c r="A36" s="14" t="s">
        <v>124</v>
      </c>
      <c r="B36" s="26" t="s">
        <v>534</v>
      </c>
      <c r="C36" s="61">
        <f t="shared" si="1"/>
        <v>287736</v>
      </c>
      <c r="D36" s="51">
        <v>50480</v>
      </c>
    </row>
    <row r="37" spans="1:4">
      <c r="A37" s="14" t="s">
        <v>125</v>
      </c>
      <c r="B37" s="21" t="s">
        <v>535</v>
      </c>
      <c r="C37" s="61">
        <f t="shared" si="1"/>
        <v>143412</v>
      </c>
      <c r="D37" s="51">
        <v>25160</v>
      </c>
    </row>
    <row r="38" spans="1:4">
      <c r="A38" s="14" t="s">
        <v>126</v>
      </c>
      <c r="B38" s="21" t="s">
        <v>536</v>
      </c>
      <c r="C38" s="61">
        <f t="shared" si="1"/>
        <v>94677</v>
      </c>
      <c r="D38" s="51">
        <v>16610</v>
      </c>
    </row>
    <row r="39" spans="1:4">
      <c r="A39" s="14" t="s">
        <v>127</v>
      </c>
      <c r="B39" s="21" t="s">
        <v>537</v>
      </c>
      <c r="C39" s="61">
        <f t="shared" si="1"/>
        <v>141930</v>
      </c>
      <c r="D39" s="51">
        <v>24900</v>
      </c>
    </row>
    <row r="40" spans="1:4">
      <c r="A40" s="14" t="s">
        <v>128</v>
      </c>
      <c r="B40" s="21" t="s">
        <v>538</v>
      </c>
      <c r="C40" s="61">
        <f t="shared" si="1"/>
        <v>101859</v>
      </c>
      <c r="D40" s="51">
        <v>17870</v>
      </c>
    </row>
    <row r="41" spans="1:4">
      <c r="A41" s="14" t="s">
        <v>129</v>
      </c>
      <c r="B41" s="21" t="s">
        <v>539</v>
      </c>
      <c r="C41" s="61">
        <f t="shared" si="1"/>
        <v>146490</v>
      </c>
      <c r="D41" s="51">
        <v>25700</v>
      </c>
    </row>
    <row r="42" spans="1:4">
      <c r="A42" s="14" t="s">
        <v>130</v>
      </c>
      <c r="B42" s="21" t="s">
        <v>540</v>
      </c>
      <c r="C42" s="61">
        <f t="shared" si="1"/>
        <v>194313</v>
      </c>
      <c r="D42" s="51">
        <v>34090</v>
      </c>
    </row>
    <row r="43" spans="1:4">
      <c r="A43" s="14" t="s">
        <v>131</v>
      </c>
      <c r="B43" s="21" t="s">
        <v>541</v>
      </c>
      <c r="C43" s="61">
        <f t="shared" si="1"/>
        <v>97755</v>
      </c>
      <c r="D43" s="51">
        <v>17150</v>
      </c>
    </row>
    <row r="44" spans="1:4">
      <c r="A44" s="14" t="s">
        <v>132</v>
      </c>
      <c r="B44" s="21" t="s">
        <v>542</v>
      </c>
      <c r="C44" s="61">
        <f t="shared" si="1"/>
        <v>220362</v>
      </c>
      <c r="D44" s="51">
        <v>38660</v>
      </c>
    </row>
    <row r="45" spans="1:4">
      <c r="A45" s="14" t="s">
        <v>133</v>
      </c>
      <c r="B45" s="26" t="s">
        <v>543</v>
      </c>
      <c r="C45" s="61">
        <f t="shared" si="1"/>
        <v>400083</v>
      </c>
      <c r="D45" s="51">
        <v>70190</v>
      </c>
    </row>
    <row r="46" spans="1:4">
      <c r="A46" s="14" t="s">
        <v>134</v>
      </c>
      <c r="B46" s="17"/>
      <c r="C46" s="61">
        <f t="shared" si="1"/>
        <v>577467</v>
      </c>
      <c r="D46" s="51">
        <v>101310</v>
      </c>
    </row>
    <row r="47" spans="1:4">
      <c r="A47" s="14" t="s">
        <v>135</v>
      </c>
      <c r="B47" s="21" t="s">
        <v>544</v>
      </c>
      <c r="C47" s="61">
        <f t="shared" si="1"/>
        <v>75981</v>
      </c>
      <c r="D47" s="51">
        <v>13330</v>
      </c>
    </row>
    <row r="48" spans="1:4" ht="28.8">
      <c r="A48" s="14" t="s">
        <v>136</v>
      </c>
      <c r="B48" s="21" t="s">
        <v>545</v>
      </c>
      <c r="C48" s="61">
        <f t="shared" si="1"/>
        <v>178923</v>
      </c>
      <c r="D48" s="51">
        <v>31390</v>
      </c>
    </row>
    <row r="49" spans="1:4">
      <c r="A49" s="14" t="s">
        <v>137</v>
      </c>
      <c r="B49" s="26" t="s">
        <v>546</v>
      </c>
      <c r="C49" s="61">
        <f t="shared" si="1"/>
        <v>116223</v>
      </c>
      <c r="D49" s="51">
        <v>20390</v>
      </c>
    </row>
    <row r="50" spans="1:4" ht="28.8">
      <c r="A50" s="14" t="s">
        <v>138</v>
      </c>
      <c r="B50" s="21" t="s">
        <v>547</v>
      </c>
      <c r="C50" s="61">
        <f t="shared" si="1"/>
        <v>119472</v>
      </c>
      <c r="D50" s="51">
        <v>20960</v>
      </c>
    </row>
    <row r="51" spans="1:4">
      <c r="A51" s="14" t="s">
        <v>139</v>
      </c>
      <c r="B51" s="21" t="s">
        <v>548</v>
      </c>
      <c r="C51" s="61">
        <f t="shared" si="1"/>
        <v>318231</v>
      </c>
      <c r="D51" s="51">
        <v>55830</v>
      </c>
    </row>
    <row r="52" spans="1:4">
      <c r="A52" s="14" t="s">
        <v>140</v>
      </c>
      <c r="B52" s="26" t="s">
        <v>549</v>
      </c>
      <c r="C52" s="61">
        <f t="shared" si="1"/>
        <v>250857</v>
      </c>
      <c r="D52" s="51">
        <v>44010</v>
      </c>
    </row>
    <row r="53" spans="1:4">
      <c r="A53" s="14" t="s">
        <v>141</v>
      </c>
      <c r="B53" s="26" t="s">
        <v>550</v>
      </c>
      <c r="C53" s="61">
        <f t="shared" si="1"/>
        <v>143868</v>
      </c>
      <c r="D53" s="51">
        <v>25240</v>
      </c>
    </row>
    <row r="54" spans="1:4" ht="28.8">
      <c r="A54" s="14" t="s">
        <v>142</v>
      </c>
      <c r="B54" s="21" t="s">
        <v>551</v>
      </c>
      <c r="C54" s="61">
        <f t="shared" si="1"/>
        <v>262656</v>
      </c>
      <c r="D54" s="51">
        <v>46080</v>
      </c>
    </row>
    <row r="55" spans="1:4">
      <c r="A55" s="14" t="s">
        <v>143</v>
      </c>
      <c r="B55" s="17"/>
      <c r="C55" s="61">
        <f t="shared" si="1"/>
        <v>445569</v>
      </c>
      <c r="D55" s="51">
        <v>78170</v>
      </c>
    </row>
    <row r="56" spans="1:4" ht="28.8">
      <c r="A56" s="14" t="s">
        <v>144</v>
      </c>
      <c r="B56" s="21" t="s">
        <v>552</v>
      </c>
      <c r="C56" s="61">
        <f t="shared" si="1"/>
        <v>94962</v>
      </c>
      <c r="D56" s="51">
        <v>16660</v>
      </c>
    </row>
    <row r="57" spans="1:4" ht="28.8">
      <c r="A57" s="14" t="s">
        <v>145</v>
      </c>
      <c r="B57" s="21" t="s">
        <v>553</v>
      </c>
      <c r="C57" s="61">
        <f t="shared" si="1"/>
        <v>429951</v>
      </c>
      <c r="D57" s="51">
        <v>75430</v>
      </c>
    </row>
    <row r="58" spans="1:4">
      <c r="A58" s="14" t="s">
        <v>188</v>
      </c>
      <c r="B58" s="26" t="s">
        <v>716</v>
      </c>
      <c r="C58" s="61">
        <f t="shared" si="1"/>
        <v>33744</v>
      </c>
      <c r="D58" s="51">
        <v>5920</v>
      </c>
    </row>
    <row r="59" spans="1:4">
      <c r="A59" s="14" t="s">
        <v>189</v>
      </c>
      <c r="B59" s="21" t="s">
        <v>717</v>
      </c>
      <c r="C59" s="61">
        <f t="shared" si="1"/>
        <v>81225</v>
      </c>
      <c r="D59" s="51">
        <v>14250</v>
      </c>
    </row>
    <row r="60" spans="1:4">
      <c r="A60" s="14" t="s">
        <v>190</v>
      </c>
      <c r="B60" s="21" t="s">
        <v>718</v>
      </c>
      <c r="C60" s="61">
        <f t="shared" si="1"/>
        <v>104652</v>
      </c>
      <c r="D60" s="51">
        <v>18360</v>
      </c>
    </row>
    <row r="61" spans="1:4">
      <c r="A61" s="14" t="s">
        <v>191</v>
      </c>
      <c r="B61" s="21" t="s">
        <v>719</v>
      </c>
      <c r="C61" s="61">
        <f t="shared" si="1"/>
        <v>53580</v>
      </c>
      <c r="D61" s="51">
        <v>9400</v>
      </c>
    </row>
    <row r="62" spans="1:4">
      <c r="A62" s="14" t="s">
        <v>192</v>
      </c>
      <c r="B62" s="21" t="s">
        <v>720</v>
      </c>
      <c r="C62" s="61">
        <f t="shared" si="1"/>
        <v>61218</v>
      </c>
      <c r="D62" s="51">
        <v>10740</v>
      </c>
    </row>
    <row r="63" spans="1:4">
      <c r="A63" s="14" t="s">
        <v>193</v>
      </c>
      <c r="B63" s="26" t="s">
        <v>723</v>
      </c>
      <c r="C63" s="61">
        <f t="shared" si="1"/>
        <v>47880</v>
      </c>
      <c r="D63" s="51">
        <v>8400</v>
      </c>
    </row>
    <row r="64" spans="1:4">
      <c r="A64" s="14" t="s">
        <v>194</v>
      </c>
      <c r="B64" s="21" t="s">
        <v>724</v>
      </c>
      <c r="C64" s="61">
        <f t="shared" si="1"/>
        <v>12255</v>
      </c>
      <c r="D64" s="51">
        <v>2150</v>
      </c>
    </row>
    <row r="65" spans="1:4">
      <c r="A65" s="14" t="s">
        <v>195</v>
      </c>
      <c r="B65" s="26" t="s">
        <v>725</v>
      </c>
      <c r="C65" s="61">
        <f t="shared" ref="C65:C96" si="2">D65*курс_рубля</f>
        <v>34998</v>
      </c>
      <c r="D65" s="51">
        <v>6140</v>
      </c>
    </row>
    <row r="66" spans="1:4">
      <c r="A66" s="17" t="s">
        <v>196</v>
      </c>
      <c r="B66" s="26" t="s">
        <v>726</v>
      </c>
      <c r="C66" s="61">
        <f t="shared" si="2"/>
        <v>54891</v>
      </c>
      <c r="D66" s="51">
        <v>9630</v>
      </c>
    </row>
    <row r="67" spans="1:4">
      <c r="A67" s="18"/>
      <c r="B67" s="34" t="s">
        <v>278</v>
      </c>
      <c r="C67" s="64"/>
      <c r="D67" s="64"/>
    </row>
    <row r="68" spans="1:4">
      <c r="A68" s="17" t="s">
        <v>318</v>
      </c>
      <c r="B68" s="17" t="s">
        <v>253</v>
      </c>
      <c r="C68" s="61">
        <v>59500</v>
      </c>
      <c r="D68" s="53"/>
    </row>
    <row r="69" spans="1:4">
      <c r="A69" s="17" t="s">
        <v>319</v>
      </c>
      <c r="B69" s="17" t="s">
        <v>254</v>
      </c>
      <c r="C69" s="61">
        <v>66500</v>
      </c>
      <c r="D69" s="53"/>
    </row>
    <row r="70" spans="1:4">
      <c r="A70" s="17" t="s">
        <v>323</v>
      </c>
      <c r="B70" s="17" t="s">
        <v>255</v>
      </c>
      <c r="C70" s="61">
        <v>28700</v>
      </c>
      <c r="D70" s="53"/>
    </row>
    <row r="71" spans="1:4">
      <c r="A71" s="17" t="s">
        <v>320</v>
      </c>
      <c r="B71" s="17" t="s">
        <v>256</v>
      </c>
      <c r="C71" s="61">
        <v>28700</v>
      </c>
      <c r="D71" s="53"/>
    </row>
    <row r="72" spans="1:4">
      <c r="A72" s="17" t="s">
        <v>321</v>
      </c>
      <c r="B72" s="17" t="s">
        <v>257</v>
      </c>
      <c r="C72" s="61">
        <v>32200</v>
      </c>
      <c r="D72" s="53"/>
    </row>
    <row r="73" spans="1:4">
      <c r="A73" s="17" t="s">
        <v>322</v>
      </c>
      <c r="B73" s="17" t="s">
        <v>258</v>
      </c>
      <c r="C73" s="61">
        <v>91700</v>
      </c>
      <c r="D73" s="53"/>
    </row>
    <row r="74" spans="1:4">
      <c r="A74" s="17" t="s">
        <v>326</v>
      </c>
      <c r="B74" s="17" t="s">
        <v>259</v>
      </c>
      <c r="C74" s="61">
        <v>98000</v>
      </c>
      <c r="D74" s="53"/>
    </row>
    <row r="75" spans="1:4">
      <c r="A75" s="17" t="s">
        <v>327</v>
      </c>
      <c r="B75" s="17" t="s">
        <v>260</v>
      </c>
      <c r="C75" s="61">
        <v>24500</v>
      </c>
      <c r="D75" s="53"/>
    </row>
    <row r="76" spans="1:4">
      <c r="A76" s="17" t="s">
        <v>328</v>
      </c>
      <c r="B76" s="17" t="s">
        <v>261</v>
      </c>
      <c r="C76" s="61">
        <v>255500</v>
      </c>
      <c r="D76" s="53"/>
    </row>
    <row r="77" spans="1:4" ht="15.6">
      <c r="A77" s="19"/>
      <c r="B77" s="35" t="s">
        <v>557</v>
      </c>
      <c r="C77" s="65"/>
      <c r="D77" s="65"/>
    </row>
    <row r="78" spans="1:4">
      <c r="A78" s="17" t="s">
        <v>746</v>
      </c>
      <c r="B78" s="36" t="s">
        <v>749</v>
      </c>
      <c r="C78" s="61">
        <v>100300</v>
      </c>
      <c r="D78" s="53"/>
    </row>
    <row r="79" spans="1:4">
      <c r="A79" s="17" t="s">
        <v>564</v>
      </c>
      <c r="B79" s="37" t="s">
        <v>750</v>
      </c>
      <c r="C79" s="61">
        <v>84600</v>
      </c>
      <c r="D79" s="53"/>
    </row>
    <row r="80" spans="1:4">
      <c r="A80" s="17" t="s">
        <v>565</v>
      </c>
      <c r="B80" s="37" t="s">
        <v>751</v>
      </c>
      <c r="C80" s="61">
        <v>65800</v>
      </c>
      <c r="D80" s="53"/>
    </row>
    <row r="81" spans="1:4">
      <c r="A81" s="17" t="s">
        <v>566</v>
      </c>
      <c r="B81" s="37" t="s">
        <v>752</v>
      </c>
      <c r="C81" s="61">
        <v>43900</v>
      </c>
      <c r="D81" s="53"/>
    </row>
    <row r="82" spans="1:4">
      <c r="A82" s="17" t="s">
        <v>567</v>
      </c>
      <c r="B82" s="38" t="s">
        <v>753</v>
      </c>
      <c r="C82" s="61">
        <v>62700</v>
      </c>
      <c r="D82" s="53"/>
    </row>
    <row r="83" spans="1:4" ht="28.8">
      <c r="A83" s="17" t="s">
        <v>568</v>
      </c>
      <c r="B83" s="39" t="s">
        <v>754</v>
      </c>
      <c r="C83" s="61">
        <v>53300</v>
      </c>
      <c r="D83" s="53"/>
    </row>
    <row r="84" spans="1:4">
      <c r="A84" s="21" t="s">
        <v>580</v>
      </c>
      <c r="B84" s="38" t="s">
        <v>763</v>
      </c>
      <c r="C84" s="61">
        <v>120000</v>
      </c>
      <c r="D84" s="53"/>
    </row>
    <row r="85" spans="1:4" ht="28.8">
      <c r="A85" s="21" t="s">
        <v>581</v>
      </c>
      <c r="B85" s="38" t="s">
        <v>764</v>
      </c>
      <c r="C85" s="61">
        <v>239000</v>
      </c>
      <c r="D85" s="53"/>
    </row>
    <row r="86" spans="1:4">
      <c r="A86" s="21" t="s">
        <v>582</v>
      </c>
      <c r="B86" s="38" t="s">
        <v>766</v>
      </c>
      <c r="C86" s="61">
        <v>145000</v>
      </c>
      <c r="D86" s="53"/>
    </row>
    <row r="87" spans="1:4">
      <c r="A87" s="21" t="s">
        <v>583</v>
      </c>
      <c r="B87" s="37" t="s">
        <v>765</v>
      </c>
      <c r="C87" s="61">
        <v>207000</v>
      </c>
      <c r="D87" s="53"/>
    </row>
    <row r="88" spans="1:4">
      <c r="A88" s="21" t="s">
        <v>584</v>
      </c>
      <c r="B88" s="37" t="s">
        <v>767</v>
      </c>
      <c r="C88" s="61">
        <v>304000</v>
      </c>
      <c r="D88" s="53"/>
    </row>
    <row r="89" spans="1:4">
      <c r="A89" s="9" t="s">
        <v>585</v>
      </c>
      <c r="B89" s="37" t="s">
        <v>768</v>
      </c>
      <c r="C89" s="61">
        <v>245000</v>
      </c>
      <c r="D89" s="53"/>
    </row>
    <row r="90" spans="1:4">
      <c r="A90" s="9" t="s">
        <v>586</v>
      </c>
      <c r="B90" s="38" t="s">
        <v>769</v>
      </c>
      <c r="C90" s="61">
        <v>470000</v>
      </c>
      <c r="D90" s="53"/>
    </row>
    <row r="91" spans="1:4">
      <c r="A91" s="9" t="s">
        <v>587</v>
      </c>
      <c r="B91" s="37" t="s">
        <v>770</v>
      </c>
      <c r="C91" s="61">
        <v>552000</v>
      </c>
      <c r="D91" s="53"/>
    </row>
    <row r="92" spans="1:4">
      <c r="A92" s="9" t="s">
        <v>588</v>
      </c>
      <c r="B92" s="37" t="s">
        <v>771</v>
      </c>
      <c r="C92" s="61">
        <v>126000</v>
      </c>
      <c r="D92" s="53"/>
    </row>
    <row r="93" spans="1:4">
      <c r="A93" s="9" t="s">
        <v>589</v>
      </c>
      <c r="B93" s="38" t="s">
        <v>772</v>
      </c>
      <c r="C93" s="61">
        <v>251000</v>
      </c>
      <c r="D93" s="53"/>
    </row>
    <row r="94" spans="1:4">
      <c r="A94" s="9" t="s">
        <v>590</v>
      </c>
      <c r="B94" s="38" t="s">
        <v>773</v>
      </c>
      <c r="C94" s="61">
        <v>304000</v>
      </c>
      <c r="D94" s="53"/>
    </row>
    <row r="95" spans="1:4">
      <c r="A95" s="9" t="s">
        <v>591</v>
      </c>
      <c r="B95" s="36" t="s">
        <v>774</v>
      </c>
      <c r="C95" s="61">
        <v>266000</v>
      </c>
      <c r="D95" s="53"/>
    </row>
    <row r="96" spans="1:4">
      <c r="A96" s="9" t="s">
        <v>595</v>
      </c>
      <c r="B96" s="37" t="s">
        <v>778</v>
      </c>
      <c r="C96" s="61">
        <v>170000</v>
      </c>
      <c r="D96" s="53"/>
    </row>
    <row r="97" spans="1:4">
      <c r="A97" s="9" t="s">
        <v>596</v>
      </c>
      <c r="B97" s="38" t="s">
        <v>779</v>
      </c>
      <c r="C97" s="61">
        <v>276000</v>
      </c>
      <c r="D97" s="53"/>
    </row>
    <row r="98" spans="1:4">
      <c r="A98" s="9" t="s">
        <v>616</v>
      </c>
      <c r="B98" s="37" t="s">
        <v>783</v>
      </c>
      <c r="C98" s="61">
        <v>314000</v>
      </c>
      <c r="D98" s="53"/>
    </row>
    <row r="99" spans="1:4">
      <c r="A99" s="9" t="s">
        <v>598</v>
      </c>
      <c r="B99" s="36" t="s">
        <v>784</v>
      </c>
      <c r="C99" s="61">
        <v>101000</v>
      </c>
      <c r="D99" s="53"/>
    </row>
    <row r="100" spans="1:4" ht="28.8">
      <c r="A100" s="9" t="s">
        <v>599</v>
      </c>
      <c r="B100" s="37" t="s">
        <v>785</v>
      </c>
      <c r="C100" s="61">
        <v>63000</v>
      </c>
      <c r="D100" s="53"/>
    </row>
    <row r="101" spans="1:4">
      <c r="A101" s="9" t="s">
        <v>600</v>
      </c>
      <c r="B101" s="37" t="s">
        <v>786</v>
      </c>
      <c r="C101" s="61">
        <v>94000</v>
      </c>
      <c r="D101" s="53"/>
    </row>
    <row r="102" spans="1:4">
      <c r="A102" s="9" t="s">
        <v>601</v>
      </c>
      <c r="B102" s="36" t="s">
        <v>787</v>
      </c>
      <c r="C102" s="61">
        <v>116000</v>
      </c>
      <c r="D102" s="53"/>
    </row>
    <row r="103" spans="1:4">
      <c r="A103" s="9" t="s">
        <v>602</v>
      </c>
      <c r="B103" s="36" t="s">
        <v>788</v>
      </c>
      <c r="C103" s="61">
        <v>76000</v>
      </c>
      <c r="D103" s="53"/>
    </row>
    <row r="104" spans="1:4">
      <c r="A104" s="9" t="s">
        <v>603</v>
      </c>
      <c r="B104" s="37" t="s">
        <v>789</v>
      </c>
      <c r="C104" s="61">
        <v>38000</v>
      </c>
      <c r="D104" s="53"/>
    </row>
    <row r="105" spans="1:4">
      <c r="A105" s="9" t="s">
        <v>604</v>
      </c>
      <c r="B105" s="36" t="s">
        <v>790</v>
      </c>
      <c r="C105" s="61">
        <v>207000</v>
      </c>
      <c r="D105" s="53"/>
    </row>
    <row r="106" spans="1:4">
      <c r="A106" s="9" t="s">
        <v>605</v>
      </c>
      <c r="B106" s="36" t="s">
        <v>791</v>
      </c>
      <c r="C106" s="61">
        <v>132000</v>
      </c>
      <c r="D106" s="53"/>
    </row>
    <row r="107" spans="1:4" ht="28.8">
      <c r="A107" s="9" t="s">
        <v>606</v>
      </c>
      <c r="B107" s="36" t="s">
        <v>792</v>
      </c>
      <c r="C107" s="61">
        <v>101000</v>
      </c>
      <c r="D107" s="53"/>
    </row>
    <row r="108" spans="1:4" ht="28.8">
      <c r="A108" s="9" t="s">
        <v>607</v>
      </c>
      <c r="B108" s="36" t="s">
        <v>793</v>
      </c>
      <c r="C108" s="61">
        <v>140000</v>
      </c>
      <c r="D108" s="53"/>
    </row>
    <row r="109" spans="1:4">
      <c r="A109" s="9" t="s">
        <v>608</v>
      </c>
      <c r="B109" s="37" t="s">
        <v>794</v>
      </c>
      <c r="C109" s="61">
        <v>251000</v>
      </c>
      <c r="D109" s="53"/>
    </row>
    <row r="110" spans="1:4">
      <c r="A110" s="9" t="s">
        <v>609</v>
      </c>
      <c r="B110" s="37" t="s">
        <v>795</v>
      </c>
      <c r="C110" s="61">
        <v>220000</v>
      </c>
      <c r="D110" s="53"/>
    </row>
    <row r="111" spans="1:4">
      <c r="A111" s="9" t="s">
        <v>610</v>
      </c>
      <c r="B111" s="36" t="s">
        <v>796</v>
      </c>
      <c r="C111" s="61">
        <v>113000</v>
      </c>
      <c r="D111" s="53"/>
    </row>
    <row r="112" spans="1:4">
      <c r="A112" s="9" t="s">
        <v>611</v>
      </c>
      <c r="B112" s="37" t="s">
        <v>797</v>
      </c>
      <c r="C112" s="61">
        <v>220000</v>
      </c>
      <c r="D112" s="53"/>
    </row>
    <row r="113" spans="1:4">
      <c r="A113" s="9" t="s">
        <v>612</v>
      </c>
      <c r="B113" s="37" t="s">
        <v>798</v>
      </c>
      <c r="C113" s="61">
        <v>314000</v>
      </c>
      <c r="D113" s="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selection activeCell="F10" sqref="F10"/>
    </sheetView>
  </sheetViews>
  <sheetFormatPr defaultRowHeight="14.4"/>
  <cols>
    <col min="1" max="1" width="16.44140625" customWidth="1"/>
    <col min="2" max="2" width="73.21875" customWidth="1"/>
  </cols>
  <sheetData>
    <row r="1" spans="1:4">
      <c r="A1" s="17" t="s">
        <v>197</v>
      </c>
      <c r="B1" s="21" t="s">
        <v>727</v>
      </c>
      <c r="C1" s="61">
        <f>D1*курс_рубля</f>
        <v>5415</v>
      </c>
      <c r="D1" s="51">
        <v>950</v>
      </c>
    </row>
    <row r="2" spans="1:4">
      <c r="A2" s="17" t="s">
        <v>198</v>
      </c>
      <c r="B2" s="26" t="s">
        <v>732</v>
      </c>
      <c r="C2" s="61">
        <f>D2*курс_рубля</f>
        <v>3249</v>
      </c>
      <c r="D2" s="51">
        <v>570</v>
      </c>
    </row>
    <row r="3" spans="1:4" ht="15.6">
      <c r="A3" s="19"/>
      <c r="B3" s="35" t="s">
        <v>557</v>
      </c>
      <c r="C3" s="65"/>
      <c r="D3" s="65"/>
    </row>
    <row r="4" spans="1:4">
      <c r="A4" s="9" t="s">
        <v>594</v>
      </c>
      <c r="B4" s="36" t="s">
        <v>777</v>
      </c>
      <c r="C4" s="61">
        <v>132000</v>
      </c>
      <c r="D4" s="53"/>
    </row>
    <row r="5" spans="1:4">
      <c r="A5" s="21" t="s">
        <v>579</v>
      </c>
      <c r="B5" s="37" t="s">
        <v>762</v>
      </c>
      <c r="C5" s="61">
        <v>10000</v>
      </c>
      <c r="D5" s="5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1:F93"/>
  <sheetViews>
    <sheetView topLeftCell="C71" workbookViewId="0">
      <selection activeCell="I86" sqref="I86"/>
    </sheetView>
  </sheetViews>
  <sheetFormatPr defaultRowHeight="14.4"/>
  <cols>
    <col min="3" max="3" width="17.21875" customWidth="1"/>
    <col min="4" max="4" width="87.77734375" customWidth="1"/>
  </cols>
  <sheetData>
    <row r="1" spans="3:6">
      <c r="C1" s="17"/>
      <c r="D1" s="17" t="s">
        <v>1352</v>
      </c>
      <c r="E1" s="56"/>
      <c r="F1" s="72"/>
    </row>
    <row r="2" spans="3:6">
      <c r="C2" s="17" t="s">
        <v>1353</v>
      </c>
      <c r="D2" s="17" t="s">
        <v>1354</v>
      </c>
      <c r="E2" s="56">
        <v>22644.380927714261</v>
      </c>
      <c r="F2" s="72"/>
    </row>
    <row r="3" spans="3:6">
      <c r="C3" s="17" t="s">
        <v>1355</v>
      </c>
      <c r="D3" s="17" t="s">
        <v>1356</v>
      </c>
      <c r="E3" s="56">
        <v>7301.2256262256278</v>
      </c>
      <c r="F3" s="72"/>
    </row>
    <row r="4" spans="3:6">
      <c r="C4" s="17" t="s">
        <v>1357</v>
      </c>
      <c r="D4" s="17" t="s">
        <v>1358</v>
      </c>
      <c r="E4" s="56">
        <v>7301.2256262256278</v>
      </c>
      <c r="F4" s="72"/>
    </row>
    <row r="5" spans="3:6">
      <c r="C5" s="17" t="s">
        <v>1359</v>
      </c>
      <c r="D5" s="17" t="s">
        <v>1360</v>
      </c>
      <c r="E5" s="56">
        <v>8232.3964307297647</v>
      </c>
      <c r="F5" s="72"/>
    </row>
    <row r="6" spans="3:6" ht="28.8">
      <c r="C6" s="17" t="s">
        <v>1361</v>
      </c>
      <c r="D6" s="17" t="s">
        <v>1362</v>
      </c>
      <c r="E6" s="56">
        <v>47235.755355755355</v>
      </c>
      <c r="F6" s="72"/>
    </row>
    <row r="7" spans="3:6">
      <c r="C7" s="17" t="s">
        <v>1363</v>
      </c>
      <c r="D7" s="17" t="s">
        <v>1364</v>
      </c>
      <c r="E7" s="56">
        <v>8571.0039960039958</v>
      </c>
      <c r="F7" s="72"/>
    </row>
    <row r="8" spans="3:6">
      <c r="C8" s="17" t="s">
        <v>1365</v>
      </c>
      <c r="D8" s="17" t="s">
        <v>1366</v>
      </c>
      <c r="E8" s="56">
        <v>9074.6827493494147</v>
      </c>
      <c r="F8" s="72"/>
    </row>
    <row r="9" spans="3:6">
      <c r="C9" s="17" t="s">
        <v>1367</v>
      </c>
      <c r="D9" s="17" t="s">
        <v>1368</v>
      </c>
      <c r="E9" s="56">
        <v>17671.082312748978</v>
      </c>
      <c r="F9" s="72"/>
    </row>
    <row r="10" spans="3:6">
      <c r="C10" s="17" t="s">
        <v>1369</v>
      </c>
      <c r="D10" s="17" t="s">
        <v>1370</v>
      </c>
      <c r="E10" s="56">
        <v>11004.745871412541</v>
      </c>
      <c r="F10" s="72"/>
    </row>
    <row r="11" spans="3:6">
      <c r="C11" s="17" t="s">
        <v>1371</v>
      </c>
      <c r="D11" s="17" t="s">
        <v>1372</v>
      </c>
      <c r="E11" s="56">
        <v>8571.0039960039958</v>
      </c>
      <c r="F11" s="72"/>
    </row>
    <row r="12" spans="3:6">
      <c r="C12" s="17" t="s">
        <v>1373</v>
      </c>
      <c r="D12" s="17" t="s">
        <v>1374</v>
      </c>
      <c r="E12" s="56">
        <v>8621.7951307951316</v>
      </c>
      <c r="F12" s="72"/>
    </row>
    <row r="13" spans="3:6" ht="28.8">
      <c r="C13" s="17" t="s">
        <v>1375</v>
      </c>
      <c r="D13" s="17" t="s">
        <v>1376</v>
      </c>
      <c r="E13" s="56">
        <v>9481.011827678496</v>
      </c>
      <c r="F13" s="72"/>
    </row>
    <row r="14" spans="3:6">
      <c r="C14" s="17" t="s">
        <v>1377</v>
      </c>
      <c r="D14" s="17" t="s">
        <v>1378</v>
      </c>
      <c r="E14" s="56">
        <v>12486.153969487306</v>
      </c>
      <c r="F14" s="72"/>
    </row>
    <row r="15" spans="3:6">
      <c r="C15" s="17" t="s">
        <v>1379</v>
      </c>
      <c r="D15" s="17" t="s">
        <v>1380</v>
      </c>
      <c r="E15" s="56">
        <v>16684.88777888778</v>
      </c>
      <c r="F15" s="72"/>
    </row>
    <row r="16" spans="3:6">
      <c r="C16" s="17" t="s">
        <v>1381</v>
      </c>
      <c r="D16" s="17" t="s">
        <v>1382</v>
      </c>
      <c r="E16" s="56">
        <v>22051.81768848436</v>
      </c>
      <c r="F16" s="72"/>
    </row>
    <row r="17" spans="3:6" ht="28.8">
      <c r="C17" s="17" t="s">
        <v>1383</v>
      </c>
      <c r="D17" s="17" t="s">
        <v>1384</v>
      </c>
      <c r="E17" s="56">
        <v>79742.081622081634</v>
      </c>
      <c r="F17" s="72"/>
    </row>
    <row r="18" spans="3:6">
      <c r="C18" s="17" t="s">
        <v>1385</v>
      </c>
      <c r="D18" s="17" t="s">
        <v>1386</v>
      </c>
      <c r="E18" s="56">
        <v>73943.427066760414</v>
      </c>
      <c r="F18" s="72"/>
    </row>
    <row r="19" spans="3:6">
      <c r="C19" s="17"/>
      <c r="D19" s="17" t="s">
        <v>1506</v>
      </c>
      <c r="E19" s="56"/>
      <c r="F19" s="72"/>
    </row>
    <row r="20" spans="3:6">
      <c r="C20" s="17" t="s">
        <v>1507</v>
      </c>
      <c r="D20" s="17" t="s">
        <v>1508</v>
      </c>
      <c r="E20" s="56">
        <v>27714.956031622693</v>
      </c>
      <c r="F20" s="72"/>
    </row>
    <row r="21" spans="3:6">
      <c r="C21" s="17" t="s">
        <v>1509</v>
      </c>
      <c r="D21" s="17" t="s">
        <v>1510</v>
      </c>
      <c r="E21" s="56">
        <v>828.33328287873746</v>
      </c>
      <c r="F21" s="72"/>
    </row>
    <row r="22" spans="3:6">
      <c r="C22" s="17" t="s">
        <v>1511</v>
      </c>
      <c r="D22" s="17" t="s">
        <v>1512</v>
      </c>
      <c r="E22" s="56">
        <v>828.33328287873746</v>
      </c>
      <c r="F22" s="72"/>
    </row>
    <row r="23" spans="3:6" ht="28.8">
      <c r="C23" s="17" t="s">
        <v>1513</v>
      </c>
      <c r="D23" s="17" t="s">
        <v>1514</v>
      </c>
      <c r="E23" s="56">
        <v>948.09231172867521</v>
      </c>
      <c r="F23" s="72"/>
    </row>
    <row r="24" spans="3:6" ht="28.8">
      <c r="C24" s="17" t="s">
        <v>1515</v>
      </c>
      <c r="D24" s="17" t="s">
        <v>1516</v>
      </c>
      <c r="E24" s="56">
        <v>10729.627224627227</v>
      </c>
      <c r="F24" s="72"/>
    </row>
    <row r="25" spans="3:6" ht="28.8">
      <c r="C25" s="17" t="s">
        <v>1517</v>
      </c>
      <c r="D25" s="17" t="s">
        <v>1518</v>
      </c>
      <c r="E25" s="56">
        <v>11309.492680159345</v>
      </c>
      <c r="F25" s="72"/>
    </row>
    <row r="26" spans="3:6" ht="28.8">
      <c r="C26" s="17" t="s">
        <v>1519</v>
      </c>
      <c r="D26" s="17" t="s">
        <v>1520</v>
      </c>
      <c r="E26" s="56">
        <v>13324.207693541024</v>
      </c>
      <c r="F26" s="72"/>
    </row>
    <row r="27" spans="3:6" ht="28.8">
      <c r="C27" s="17" t="s">
        <v>1521</v>
      </c>
      <c r="D27" s="17" t="s">
        <v>1522</v>
      </c>
      <c r="E27" s="56">
        <v>13015.228290228291</v>
      </c>
      <c r="F27" s="72"/>
    </row>
    <row r="28" spans="3:6">
      <c r="C28" s="17" t="s">
        <v>1523</v>
      </c>
      <c r="D28" s="17" t="s">
        <v>1524</v>
      </c>
      <c r="E28" s="56">
        <v>1004.279256097438</v>
      </c>
      <c r="F28" s="72"/>
    </row>
    <row r="29" spans="3:6">
      <c r="C29" s="17"/>
      <c r="D29" s="17" t="s">
        <v>1525</v>
      </c>
      <c r="E29" s="56">
        <v>0</v>
      </c>
      <c r="F29" s="72"/>
    </row>
    <row r="30" spans="3:6">
      <c r="C30" s="17" t="s">
        <v>1526</v>
      </c>
      <c r="D30" s="17" t="s">
        <v>1527</v>
      </c>
      <c r="E30" s="56">
        <v>151230.60384060384</v>
      </c>
      <c r="F30" s="72"/>
    </row>
    <row r="31" spans="3:6" ht="28.8">
      <c r="C31" s="17" t="s">
        <v>1528</v>
      </c>
      <c r="D31" s="17" t="s">
        <v>1529</v>
      </c>
      <c r="E31" s="56">
        <v>452972.27044560376</v>
      </c>
      <c r="F31" s="72"/>
    </row>
    <row r="32" spans="3:6" ht="28.8">
      <c r="C32" s="17" t="s">
        <v>1530</v>
      </c>
      <c r="D32" s="17" t="s">
        <v>1531</v>
      </c>
      <c r="E32" s="56">
        <v>833228.56624856615</v>
      </c>
      <c r="F32" s="72"/>
    </row>
    <row r="33" spans="3:6" ht="28.8">
      <c r="C33" s="17" t="s">
        <v>1612</v>
      </c>
      <c r="D33" s="17" t="s">
        <v>1613</v>
      </c>
      <c r="E33" s="56">
        <v>19554.586894586897</v>
      </c>
      <c r="F33" s="72"/>
    </row>
    <row r="34" spans="3:6" ht="43.2">
      <c r="C34" s="17" t="s">
        <v>1614</v>
      </c>
      <c r="D34" s="17" t="s">
        <v>1615</v>
      </c>
      <c r="E34" s="56">
        <v>21289.950666617337</v>
      </c>
      <c r="F34" s="72"/>
    </row>
    <row r="35" spans="3:6">
      <c r="C35" s="17"/>
      <c r="D35" s="17" t="s">
        <v>1895</v>
      </c>
      <c r="E35" s="56"/>
      <c r="F35" s="53"/>
    </row>
    <row r="36" spans="3:6">
      <c r="C36" s="17" t="s">
        <v>1896</v>
      </c>
      <c r="D36" s="17" t="s">
        <v>1897</v>
      </c>
      <c r="E36" s="56">
        <v>26051.619553286218</v>
      </c>
      <c r="F36" s="53"/>
    </row>
    <row r="37" spans="3:6">
      <c r="C37" s="17" t="s">
        <v>1898</v>
      </c>
      <c r="D37" s="17" t="s">
        <v>1899</v>
      </c>
      <c r="E37" s="56">
        <v>17268.985828985828</v>
      </c>
      <c r="F37" s="53"/>
    </row>
    <row r="38" spans="3:6">
      <c r="C38" s="17" t="s">
        <v>1900</v>
      </c>
      <c r="D38" s="17" t="s">
        <v>1901</v>
      </c>
      <c r="E38" s="56">
        <v>17268.985828985828</v>
      </c>
      <c r="F38" s="53"/>
    </row>
    <row r="39" spans="3:6">
      <c r="C39" s="17" t="s">
        <v>1902</v>
      </c>
      <c r="D39" s="17" t="s">
        <v>1903</v>
      </c>
      <c r="E39" s="56">
        <v>47066.45157311824</v>
      </c>
      <c r="F39" s="53"/>
    </row>
    <row r="40" spans="3:6">
      <c r="C40" s="17" t="s">
        <v>1904</v>
      </c>
      <c r="D40" s="17" t="s">
        <v>1905</v>
      </c>
      <c r="E40" s="56">
        <v>22305.773362440028</v>
      </c>
      <c r="F40" s="53"/>
    </row>
    <row r="41" spans="3:6" ht="28.8">
      <c r="C41" s="17" t="s">
        <v>1906</v>
      </c>
      <c r="D41" s="17" t="s">
        <v>1907</v>
      </c>
      <c r="E41" s="56">
        <v>49690.660203993531</v>
      </c>
      <c r="F41" s="53"/>
    </row>
    <row r="42" spans="3:6">
      <c r="C42" s="17" t="s">
        <v>1908</v>
      </c>
      <c r="D42" s="17" t="s">
        <v>1909</v>
      </c>
      <c r="E42" s="56">
        <v>61499.599042932379</v>
      </c>
      <c r="F42" s="53"/>
    </row>
    <row r="43" spans="3:6">
      <c r="C43" s="17" t="s">
        <v>1910</v>
      </c>
      <c r="D43" s="17" t="s">
        <v>1911</v>
      </c>
      <c r="E43" s="56">
        <v>66441.153198653206</v>
      </c>
      <c r="F43" s="53"/>
    </row>
    <row r="44" spans="3:6" ht="28.8">
      <c r="C44" s="17" t="s">
        <v>1912</v>
      </c>
      <c r="D44" s="17" t="s">
        <v>1913</v>
      </c>
      <c r="E44" s="56">
        <v>53626.973150306498</v>
      </c>
      <c r="F44" s="53"/>
    </row>
    <row r="45" spans="3:6">
      <c r="C45" s="17" t="s">
        <v>1914</v>
      </c>
      <c r="D45" s="17" t="s">
        <v>1915</v>
      </c>
      <c r="E45" s="56">
        <v>59044.694194694188</v>
      </c>
      <c r="F45" s="53"/>
    </row>
    <row r="46" spans="3:6">
      <c r="C46" s="17" t="s">
        <v>1916</v>
      </c>
      <c r="D46" s="17" t="s">
        <v>1917</v>
      </c>
      <c r="E46" s="56">
        <v>29628.161961495298</v>
      </c>
      <c r="F46" s="53"/>
    </row>
    <row r="47" spans="3:6">
      <c r="C47" s="17" t="s">
        <v>1918</v>
      </c>
      <c r="D47" s="17" t="s">
        <v>1919</v>
      </c>
      <c r="E47" s="56">
        <v>36061.705701705701</v>
      </c>
      <c r="F47" s="53"/>
    </row>
    <row r="48" spans="3:6" ht="28.8">
      <c r="C48" s="17" t="s">
        <v>1920</v>
      </c>
      <c r="D48" s="17" t="s">
        <v>1921</v>
      </c>
      <c r="E48" s="56">
        <v>37310.321098654429</v>
      </c>
      <c r="F48" s="53"/>
    </row>
    <row r="49" spans="3:6">
      <c r="C49" s="17" t="s">
        <v>1922</v>
      </c>
      <c r="D49" s="17" t="s">
        <v>1923</v>
      </c>
      <c r="E49" s="56">
        <v>43765.027811694483</v>
      </c>
      <c r="F49" s="53"/>
    </row>
    <row r="50" spans="3:6">
      <c r="C50" s="17" t="s">
        <v>1924</v>
      </c>
      <c r="D50" s="17" t="s">
        <v>1925</v>
      </c>
      <c r="E50" s="56">
        <v>61880.53255386588</v>
      </c>
      <c r="F50" s="53"/>
    </row>
    <row r="51" spans="3:6" ht="28.8">
      <c r="C51" s="17" t="s">
        <v>1926</v>
      </c>
      <c r="D51" s="17" t="s">
        <v>1927</v>
      </c>
      <c r="E51" s="56">
        <v>36781.246777913446</v>
      </c>
      <c r="F51" s="53"/>
    </row>
    <row r="52" spans="3:6">
      <c r="C52" s="17" t="s">
        <v>1928</v>
      </c>
      <c r="D52" s="17" t="s">
        <v>1929</v>
      </c>
      <c r="E52" s="56">
        <v>91000.783167449816</v>
      </c>
      <c r="F52" s="53"/>
    </row>
    <row r="53" spans="3:6" ht="28.8">
      <c r="C53" s="17" t="s">
        <v>1930</v>
      </c>
      <c r="D53" s="17" t="s">
        <v>1931</v>
      </c>
      <c r="E53" s="56">
        <v>11375.097895931227</v>
      </c>
      <c r="F53" s="53"/>
    </row>
    <row r="54" spans="3:6">
      <c r="C54" s="17" t="s">
        <v>1932</v>
      </c>
      <c r="D54" s="17" t="s">
        <v>1933</v>
      </c>
      <c r="E54" s="56">
        <v>15470.13313846647</v>
      </c>
      <c r="F54" s="53"/>
    </row>
    <row r="55" spans="3:6" ht="28.8">
      <c r="C55" s="17" t="s">
        <v>1934</v>
      </c>
      <c r="D55" s="17" t="s">
        <v>1935</v>
      </c>
      <c r="E55" s="56">
        <v>13480.813692480358</v>
      </c>
      <c r="F55" s="53"/>
    </row>
    <row r="56" spans="3:6" ht="28.8">
      <c r="C56" s="17" t="s">
        <v>1936</v>
      </c>
      <c r="D56" s="17" t="s">
        <v>1937</v>
      </c>
      <c r="E56" s="56">
        <v>16507.118807118808</v>
      </c>
      <c r="F56" s="53"/>
    </row>
    <row r="57" spans="3:6">
      <c r="C57" s="17" t="s">
        <v>1938</v>
      </c>
      <c r="D57" s="17" t="s">
        <v>1939</v>
      </c>
      <c r="E57" s="56">
        <v>4416.1696328363005</v>
      </c>
      <c r="F57" s="53"/>
    </row>
    <row r="58" spans="3:6">
      <c r="C58" s="17" t="s">
        <v>1940</v>
      </c>
      <c r="D58" s="17" t="s">
        <v>1941</v>
      </c>
      <c r="E58" s="56">
        <v>6042.7301093967753</v>
      </c>
      <c r="F58" s="53"/>
    </row>
    <row r="59" spans="3:6">
      <c r="C59" s="17" t="s">
        <v>1942</v>
      </c>
      <c r="D59" s="17" t="s">
        <v>1943</v>
      </c>
      <c r="E59" s="56">
        <v>32760.28194028194</v>
      </c>
      <c r="F59" s="53"/>
    </row>
    <row r="60" spans="3:6" ht="28.8">
      <c r="C60" s="17" t="s">
        <v>1944</v>
      </c>
      <c r="D60" s="17" t="s">
        <v>1945</v>
      </c>
      <c r="E60" s="56">
        <v>32305.278024444691</v>
      </c>
      <c r="F60" s="53"/>
    </row>
    <row r="61" spans="3:6">
      <c r="C61" s="17" t="s">
        <v>1946</v>
      </c>
      <c r="D61" s="17" t="s">
        <v>1947</v>
      </c>
      <c r="E61" s="56">
        <v>6449.4007227340562</v>
      </c>
      <c r="F61" s="53"/>
    </row>
    <row r="62" spans="3:6" ht="28.8">
      <c r="C62" s="17" t="s">
        <v>1948</v>
      </c>
      <c r="D62" s="17" t="s">
        <v>1949</v>
      </c>
      <c r="E62" s="56">
        <v>28654.665211331878</v>
      </c>
      <c r="F62" s="53"/>
    </row>
    <row r="63" spans="3:6" ht="28.8">
      <c r="C63" s="17" t="s">
        <v>1950</v>
      </c>
      <c r="D63" s="17" t="s">
        <v>1951</v>
      </c>
      <c r="E63" s="56">
        <v>26412.243928910597</v>
      </c>
      <c r="F63" s="53"/>
    </row>
    <row r="64" spans="3:6" ht="28.8">
      <c r="C64" s="17" t="s">
        <v>1952</v>
      </c>
      <c r="D64" s="17" t="s">
        <v>1953</v>
      </c>
      <c r="E64" s="56">
        <v>23046.477411477412</v>
      </c>
      <c r="F64" s="53"/>
    </row>
    <row r="65" spans="3:6" ht="28.8">
      <c r="C65" s="17" t="s">
        <v>1954</v>
      </c>
      <c r="D65" s="17" t="s">
        <v>1955</v>
      </c>
      <c r="E65" s="56">
        <v>9100.0783167449827</v>
      </c>
      <c r="F65" s="53"/>
    </row>
    <row r="66" spans="3:6">
      <c r="C66" s="17" t="s">
        <v>1956</v>
      </c>
      <c r="D66" s="17" t="s">
        <v>1957</v>
      </c>
      <c r="E66" s="56">
        <v>6695.9646032979372</v>
      </c>
      <c r="F66" s="53"/>
    </row>
    <row r="67" spans="3:6">
      <c r="C67" s="17" t="s">
        <v>1958</v>
      </c>
      <c r="D67" s="17" t="s">
        <v>1959</v>
      </c>
      <c r="E67" s="56">
        <v>6983.7810337810351</v>
      </c>
      <c r="F67" s="53"/>
    </row>
    <row r="68" spans="3:6">
      <c r="C68" s="17" t="s">
        <v>1960</v>
      </c>
      <c r="D68" s="17" t="s">
        <v>1961</v>
      </c>
      <c r="E68" s="56">
        <v>9311.7080450413796</v>
      </c>
      <c r="F68" s="53"/>
    </row>
    <row r="69" spans="3:6">
      <c r="C69" s="17" t="s">
        <v>1962</v>
      </c>
      <c r="D69" s="17" t="s">
        <v>1963</v>
      </c>
      <c r="E69" s="56">
        <v>7364.7145447145449</v>
      </c>
      <c r="F69" s="53"/>
    </row>
    <row r="70" spans="3:6" ht="28.8">
      <c r="C70" s="17" t="s">
        <v>1964</v>
      </c>
      <c r="D70" s="17" t="s">
        <v>1965</v>
      </c>
      <c r="E70" s="56">
        <v>18655.160549327215</v>
      </c>
      <c r="F70" s="53"/>
    </row>
    <row r="71" spans="3:6">
      <c r="C71" s="17" t="s">
        <v>1966</v>
      </c>
      <c r="D71" s="17" t="s">
        <v>1967</v>
      </c>
      <c r="E71" s="56">
        <v>7787.9740013073342</v>
      </c>
      <c r="F71" s="53"/>
    </row>
    <row r="72" spans="3:6">
      <c r="C72" s="17" t="s">
        <v>1968</v>
      </c>
      <c r="D72" s="17" t="s">
        <v>1969</v>
      </c>
      <c r="E72" s="56">
        <v>9777.2934472934485</v>
      </c>
      <c r="F72" s="53"/>
    </row>
    <row r="73" spans="3:6" ht="28.8">
      <c r="C73" s="17" t="s">
        <v>1970</v>
      </c>
      <c r="D73" s="17" t="s">
        <v>1971</v>
      </c>
      <c r="E73" s="56">
        <v>11047.071817071816</v>
      </c>
      <c r="F73" s="53"/>
    </row>
    <row r="74" spans="3:6" ht="28.8">
      <c r="C74" s="17" t="s">
        <v>1972</v>
      </c>
      <c r="D74" s="17" t="s">
        <v>1973</v>
      </c>
      <c r="E74" s="56">
        <v>14517.799361132693</v>
      </c>
      <c r="F74" s="53"/>
    </row>
    <row r="75" spans="3:6">
      <c r="C75" s="17" t="s">
        <v>1974</v>
      </c>
      <c r="D75" s="17" t="s">
        <v>1975</v>
      </c>
      <c r="E75" s="56">
        <v>12215.267917267918</v>
      </c>
      <c r="F75" s="53"/>
    </row>
    <row r="76" spans="3:6">
      <c r="C76" s="17" t="s">
        <v>1976</v>
      </c>
      <c r="D76" s="17" t="s">
        <v>1977</v>
      </c>
      <c r="E76" s="56">
        <v>15321.992328658993</v>
      </c>
      <c r="F76" s="53"/>
    </row>
    <row r="77" spans="3:6">
      <c r="C77" s="17"/>
      <c r="D77" s="17" t="s">
        <v>1506</v>
      </c>
      <c r="E77" s="56"/>
      <c r="F77" s="53"/>
    </row>
    <row r="78" spans="3:6" ht="28.8">
      <c r="C78" s="17" t="s">
        <v>2001</v>
      </c>
      <c r="D78" s="17" t="s">
        <v>2002</v>
      </c>
      <c r="E78" s="56">
        <v>33522.148962148967</v>
      </c>
      <c r="F78" s="53"/>
    </row>
    <row r="79" spans="3:6">
      <c r="C79" s="17" t="s">
        <v>2003</v>
      </c>
      <c r="D79" s="17" t="s">
        <v>2004</v>
      </c>
      <c r="E79" s="56">
        <v>10073.575066908401</v>
      </c>
      <c r="F79" s="53"/>
    </row>
    <row r="80" spans="3:6">
      <c r="C80" s="17" t="s">
        <v>2005</v>
      </c>
      <c r="D80" s="17" t="s">
        <v>2006</v>
      </c>
      <c r="E80" s="56">
        <v>10454.508577841911</v>
      </c>
      <c r="F80" s="53"/>
    </row>
    <row r="81" spans="3:6">
      <c r="C81" s="17" t="s">
        <v>2007</v>
      </c>
      <c r="D81" s="17" t="s">
        <v>2008</v>
      </c>
      <c r="E81" s="56">
        <v>11047.071817071816</v>
      </c>
      <c r="F81" s="53"/>
    </row>
    <row r="82" spans="3:6">
      <c r="C82" s="17" t="s">
        <v>2009</v>
      </c>
      <c r="D82" s="17" t="s">
        <v>2010</v>
      </c>
      <c r="E82" s="56">
        <v>11681.961001961003</v>
      </c>
      <c r="F82" s="53"/>
    </row>
    <row r="83" spans="3:6">
      <c r="C83" s="17" t="s">
        <v>2011</v>
      </c>
      <c r="D83" s="17" t="s">
        <v>2012</v>
      </c>
      <c r="E83" s="56">
        <v>13755.932339265672</v>
      </c>
      <c r="F83" s="53"/>
    </row>
    <row r="84" spans="3:6" ht="28.8">
      <c r="C84" s="17" t="s">
        <v>2013</v>
      </c>
      <c r="D84" s="17" t="s">
        <v>2014</v>
      </c>
      <c r="E84" s="56">
        <v>11681.961001961003</v>
      </c>
      <c r="F84" s="53"/>
    </row>
    <row r="85" spans="3:6">
      <c r="C85" s="17" t="s">
        <v>2015</v>
      </c>
      <c r="D85" s="17" t="s">
        <v>2016</v>
      </c>
      <c r="E85" s="56">
        <v>15470.13313846647</v>
      </c>
      <c r="F85" s="53"/>
    </row>
    <row r="86" spans="3:6">
      <c r="C86" s="17" t="s">
        <v>2017</v>
      </c>
      <c r="D86" s="17" t="s">
        <v>2018</v>
      </c>
      <c r="E86" s="56">
        <v>14382.356335023002</v>
      </c>
      <c r="F86" s="53"/>
    </row>
    <row r="87" spans="3:6" ht="28.8">
      <c r="C87" s="17" t="s">
        <v>2019</v>
      </c>
      <c r="D87" s="17" t="s">
        <v>2020</v>
      </c>
      <c r="E87" s="56">
        <v>30009.095472428806</v>
      </c>
      <c r="F87" s="53"/>
    </row>
    <row r="88" spans="3:6" ht="28.8">
      <c r="C88" s="17" t="s">
        <v>2021</v>
      </c>
      <c r="D88" s="17" t="s">
        <v>2022</v>
      </c>
      <c r="E88" s="56">
        <v>40495.348509515177</v>
      </c>
      <c r="F88" s="53"/>
    </row>
    <row r="89" spans="3:6">
      <c r="C89" s="17"/>
      <c r="D89" s="17" t="s">
        <v>2023</v>
      </c>
      <c r="E89" s="56">
        <v>0</v>
      </c>
      <c r="F89" s="53"/>
    </row>
    <row r="90" spans="3:6">
      <c r="C90" s="17" t="s">
        <v>2024</v>
      </c>
      <c r="D90" s="17" t="s">
        <v>2025</v>
      </c>
      <c r="E90" s="56">
        <v>15015.129222629221</v>
      </c>
      <c r="F90" s="53"/>
    </row>
    <row r="91" spans="3:6">
      <c r="C91" s="17" t="s">
        <v>2026</v>
      </c>
      <c r="D91" s="17" t="s">
        <v>2027</v>
      </c>
      <c r="E91" s="56">
        <v>13195.113559280226</v>
      </c>
      <c r="F91" s="53"/>
    </row>
    <row r="92" spans="3:6" ht="28.8">
      <c r="C92" s="17" t="s">
        <v>2028</v>
      </c>
      <c r="D92" s="17" t="s">
        <v>2029</v>
      </c>
      <c r="E92" s="56">
        <v>15015.129222629221</v>
      </c>
      <c r="F92" s="53"/>
    </row>
    <row r="93" spans="3:6">
      <c r="C93" s="17" t="s">
        <v>2030</v>
      </c>
      <c r="D93" s="17" t="s">
        <v>2031</v>
      </c>
      <c r="E93" s="56">
        <v>21840.187960187955</v>
      </c>
      <c r="F93" s="5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8"/>
  <sheetViews>
    <sheetView topLeftCell="A166" workbookViewId="0">
      <selection activeCell="B197" sqref="B197"/>
    </sheetView>
  </sheetViews>
  <sheetFormatPr defaultRowHeight="14.4"/>
  <cols>
    <col min="1" max="1" width="17.6640625" customWidth="1"/>
    <col min="2" max="2" width="78.44140625" customWidth="1"/>
    <col min="3" max="3" width="14.88671875" customWidth="1"/>
    <col min="4" max="4" width="12.88671875" customWidth="1"/>
  </cols>
  <sheetData>
    <row r="1" spans="1:4">
      <c r="A1" s="17" t="s">
        <v>1086</v>
      </c>
      <c r="B1" s="17" t="s">
        <v>1087</v>
      </c>
      <c r="C1" s="56">
        <v>3174.4459244459249</v>
      </c>
      <c r="D1" s="72"/>
    </row>
    <row r="2" spans="1:4" ht="28.8">
      <c r="A2" s="17"/>
      <c r="B2" s="17" t="s">
        <v>1088</v>
      </c>
      <c r="C2" s="56">
        <v>0</v>
      </c>
      <c r="D2" s="72"/>
    </row>
    <row r="3" spans="1:4">
      <c r="A3" s="17" t="s">
        <v>1089</v>
      </c>
      <c r="B3" s="17" t="s">
        <v>1090</v>
      </c>
      <c r="C3" s="56">
        <v>3716.2180288846962</v>
      </c>
      <c r="D3" s="72"/>
    </row>
    <row r="4" spans="1:4">
      <c r="A4" s="17" t="s">
        <v>1091</v>
      </c>
      <c r="B4" s="17" t="s">
        <v>1092</v>
      </c>
      <c r="C4" s="56">
        <v>21924.839851506516</v>
      </c>
      <c r="D4" s="72"/>
    </row>
    <row r="5" spans="1:4" ht="28.8">
      <c r="A5" s="17" t="s">
        <v>1093</v>
      </c>
      <c r="B5" s="17" t="s">
        <v>1094</v>
      </c>
      <c r="C5" s="56">
        <v>51172.068302068299</v>
      </c>
      <c r="D5" s="72"/>
    </row>
    <row r="6" spans="1:4">
      <c r="A6" s="17" t="s">
        <v>1095</v>
      </c>
      <c r="B6" s="17" t="s">
        <v>1096</v>
      </c>
      <c r="C6" s="56">
        <v>10090.505445172112</v>
      </c>
      <c r="D6" s="72"/>
    </row>
    <row r="7" spans="1:4" ht="28.8">
      <c r="A7" s="17" t="s">
        <v>1097</v>
      </c>
      <c r="B7" s="17" t="s">
        <v>1098</v>
      </c>
      <c r="C7" s="56">
        <v>14348.495578495576</v>
      </c>
      <c r="D7" s="72"/>
    </row>
    <row r="8" spans="1:4" ht="28.8">
      <c r="A8" s="17" t="s">
        <v>1099</v>
      </c>
      <c r="B8" s="17" t="s">
        <v>1100</v>
      </c>
      <c r="C8" s="56">
        <v>14094.539904539904</v>
      </c>
      <c r="D8" s="72"/>
    </row>
    <row r="9" spans="1:4" ht="28.8">
      <c r="A9" s="17" t="s">
        <v>1101</v>
      </c>
      <c r="B9" s="17" t="s">
        <v>1102</v>
      </c>
      <c r="C9" s="56">
        <v>111698.17059483725</v>
      </c>
      <c r="D9" s="72"/>
    </row>
    <row r="10" spans="1:4" ht="28.8">
      <c r="A10" s="17" t="s">
        <v>1103</v>
      </c>
      <c r="B10" s="17" t="s">
        <v>1104</v>
      </c>
      <c r="C10" s="56">
        <v>81816.052959386288</v>
      </c>
      <c r="D10" s="72"/>
    </row>
    <row r="11" spans="1:4" ht="28.8">
      <c r="A11" s="17" t="s">
        <v>1105</v>
      </c>
      <c r="B11" s="17" t="s">
        <v>1106</v>
      </c>
      <c r="C11" s="56">
        <v>13705.141204474539</v>
      </c>
      <c r="D11" s="72"/>
    </row>
    <row r="12" spans="1:4" ht="28.8">
      <c r="A12" s="17" t="s">
        <v>1107</v>
      </c>
      <c r="B12" s="17" t="s">
        <v>1108</v>
      </c>
      <c r="C12" s="56">
        <v>17015.030155030156</v>
      </c>
      <c r="D12" s="72"/>
    </row>
    <row r="13" spans="1:4" ht="28.8">
      <c r="A13" s="17" t="s">
        <v>1109</v>
      </c>
      <c r="B13" s="17" t="s">
        <v>1110</v>
      </c>
      <c r="C13" s="56">
        <v>16663.724806058137</v>
      </c>
      <c r="D13" s="72"/>
    </row>
    <row r="14" spans="1:4">
      <c r="A14" s="17" t="s">
        <v>1111</v>
      </c>
      <c r="B14" s="17" t="s">
        <v>1112</v>
      </c>
      <c r="C14" s="56">
        <v>33035.400587067255</v>
      </c>
      <c r="D14" s="72"/>
    </row>
    <row r="15" spans="1:4">
      <c r="A15" s="17" t="s">
        <v>1113</v>
      </c>
      <c r="B15" s="17" t="s">
        <v>1114</v>
      </c>
      <c r="C15" s="56">
        <v>72504.344914344925</v>
      </c>
      <c r="D15" s="72"/>
    </row>
    <row r="16" spans="1:4" ht="28.8">
      <c r="A16" s="17" t="s">
        <v>1115</v>
      </c>
      <c r="B16" s="17" t="s">
        <v>1116</v>
      </c>
      <c r="C16" s="56">
        <v>73012.25626225624</v>
      </c>
      <c r="D16" s="72"/>
    </row>
    <row r="17" spans="1:4" ht="28.8">
      <c r="A17" s="17" t="s">
        <v>1117</v>
      </c>
      <c r="B17" s="17" t="s">
        <v>1118</v>
      </c>
      <c r="C17" s="56">
        <v>97349.675016341687</v>
      </c>
      <c r="D17" s="72"/>
    </row>
    <row r="18" spans="1:4">
      <c r="A18" s="17" t="s">
        <v>1119</v>
      </c>
      <c r="B18" s="17" t="s">
        <v>1120</v>
      </c>
      <c r="C18" s="56">
        <v>24422.070645403979</v>
      </c>
      <c r="D18" s="72"/>
    </row>
    <row r="19" spans="1:4">
      <c r="A19" s="17" t="s">
        <v>1121</v>
      </c>
      <c r="B19" s="17" t="s">
        <v>1122</v>
      </c>
      <c r="C19" s="56">
        <v>30051.421418088088</v>
      </c>
      <c r="D19" s="72"/>
    </row>
    <row r="20" spans="1:4" ht="28.8">
      <c r="A20" s="17" t="s">
        <v>1123</v>
      </c>
      <c r="B20" s="17" t="s">
        <v>1124</v>
      </c>
      <c r="C20" s="56">
        <v>49436.704530037852</v>
      </c>
      <c r="D20" s="72"/>
    </row>
    <row r="21" spans="1:4">
      <c r="A21" s="17" t="s">
        <v>1125</v>
      </c>
      <c r="B21" s="17" t="s">
        <v>1126</v>
      </c>
      <c r="C21" s="56">
        <v>73689.471392804713</v>
      </c>
      <c r="D21" s="72"/>
    </row>
    <row r="22" spans="1:4">
      <c r="A22" s="17" t="s">
        <v>1127</v>
      </c>
      <c r="B22" s="17" t="s">
        <v>1128</v>
      </c>
      <c r="C22" s="56">
        <v>73689.471392804713</v>
      </c>
      <c r="D22" s="72"/>
    </row>
    <row r="23" spans="1:4" ht="28.8">
      <c r="A23" s="17" t="s">
        <v>1129</v>
      </c>
      <c r="B23" s="17" t="s">
        <v>1130</v>
      </c>
      <c r="C23" s="56">
        <v>55827.922324589003</v>
      </c>
      <c r="D23" s="72"/>
    </row>
    <row r="24" spans="1:4" ht="28.8">
      <c r="A24" s="17" t="s">
        <v>1131</v>
      </c>
      <c r="B24" s="17" t="s">
        <v>1132</v>
      </c>
      <c r="C24" s="56">
        <v>65647.54171754171</v>
      </c>
      <c r="D24" s="72"/>
    </row>
    <row r="25" spans="1:4">
      <c r="A25" s="17" t="s">
        <v>1133</v>
      </c>
      <c r="B25" s="17" t="s">
        <v>1134</v>
      </c>
      <c r="C25" s="56">
        <v>59603.396677396675</v>
      </c>
      <c r="D25" s="72"/>
    </row>
    <row r="26" spans="1:4">
      <c r="A26" s="17" t="s">
        <v>1135</v>
      </c>
      <c r="B26" s="17" t="s">
        <v>2653</v>
      </c>
      <c r="C26" s="56">
        <v>60991.687695021028</v>
      </c>
      <c r="D26" s="72"/>
    </row>
    <row r="27" spans="1:4" ht="28.8">
      <c r="A27" s="17" t="s">
        <v>1136</v>
      </c>
      <c r="B27" s="17" t="s">
        <v>1137</v>
      </c>
      <c r="C27" s="56">
        <v>72504.344914344925</v>
      </c>
      <c r="D27" s="72"/>
    </row>
    <row r="28" spans="1:4" ht="28.8">
      <c r="A28" s="17" t="s">
        <v>1138</v>
      </c>
      <c r="B28" s="17" t="s">
        <v>1139</v>
      </c>
      <c r="C28" s="56">
        <v>135908.61151194485</v>
      </c>
      <c r="D28" s="72"/>
    </row>
    <row r="29" spans="1:4">
      <c r="A29" s="17" t="s">
        <v>1140</v>
      </c>
      <c r="B29" s="17" t="s">
        <v>1141</v>
      </c>
      <c r="C29" s="56">
        <v>102767.3960607294</v>
      </c>
      <c r="D29" s="72"/>
    </row>
    <row r="30" spans="1:4">
      <c r="A30" s="17" t="s">
        <v>1142</v>
      </c>
      <c r="B30" s="17" t="s">
        <v>1143</v>
      </c>
      <c r="C30" s="56">
        <v>72504.344914344925</v>
      </c>
      <c r="D30" s="72"/>
    </row>
    <row r="31" spans="1:4">
      <c r="A31" s="17" t="s">
        <v>1144</v>
      </c>
      <c r="B31" s="17" t="s">
        <v>1145</v>
      </c>
      <c r="C31" s="56">
        <v>96757.111777111772</v>
      </c>
      <c r="D31" s="72"/>
    </row>
    <row r="32" spans="1:4">
      <c r="A32" s="17" t="s">
        <v>1146</v>
      </c>
      <c r="B32" s="17" t="s">
        <v>1147</v>
      </c>
      <c r="C32" s="56">
        <v>107507.90197456864</v>
      </c>
      <c r="D32" s="72"/>
    </row>
    <row r="33" spans="1:4" ht="28.8">
      <c r="A33" s="17" t="s">
        <v>1148</v>
      </c>
      <c r="B33" s="17" t="s">
        <v>1149</v>
      </c>
      <c r="C33" s="56">
        <v>121814.07160740494</v>
      </c>
      <c r="D33" s="72"/>
    </row>
    <row r="34" spans="1:4">
      <c r="A34" s="17" t="s">
        <v>1150</v>
      </c>
      <c r="B34" s="17" t="s">
        <v>1151</v>
      </c>
      <c r="C34" s="56">
        <v>193133.29004329004</v>
      </c>
      <c r="D34" s="72"/>
    </row>
    <row r="35" spans="1:4">
      <c r="A35" s="17" t="s">
        <v>1152</v>
      </c>
      <c r="B35" s="17" t="s">
        <v>1153</v>
      </c>
      <c r="C35" s="56">
        <v>211375.77262243925</v>
      </c>
      <c r="D35" s="72"/>
    </row>
    <row r="36" spans="1:4">
      <c r="A36" s="17" t="s">
        <v>1154</v>
      </c>
      <c r="B36" s="17" t="s">
        <v>1155</v>
      </c>
      <c r="C36" s="56">
        <v>193133.29004329004</v>
      </c>
      <c r="D36" s="72"/>
    </row>
    <row r="37" spans="1:4">
      <c r="A37" s="17" t="s">
        <v>1156</v>
      </c>
      <c r="B37" s="17" t="s">
        <v>1157</v>
      </c>
      <c r="C37" s="56">
        <v>364934.30347430351</v>
      </c>
      <c r="D37" s="72"/>
    </row>
    <row r="38" spans="1:4">
      <c r="A38" s="17" t="s">
        <v>1158</v>
      </c>
      <c r="B38" s="17" t="s">
        <v>1159</v>
      </c>
      <c r="C38" s="56">
        <v>102767.3960607294</v>
      </c>
      <c r="D38" s="72"/>
    </row>
    <row r="39" spans="1:4">
      <c r="A39" s="17" t="s">
        <v>1160</v>
      </c>
      <c r="B39" s="17" t="s">
        <v>1161</v>
      </c>
      <c r="C39" s="56">
        <v>271859.54896954901</v>
      </c>
      <c r="D39" s="72"/>
    </row>
    <row r="40" spans="1:4">
      <c r="A40" s="17" t="s">
        <v>1162</v>
      </c>
      <c r="B40" s="17" t="s">
        <v>1163</v>
      </c>
      <c r="C40" s="56">
        <v>519297.02729369397</v>
      </c>
      <c r="D40" s="72"/>
    </row>
    <row r="41" spans="1:4">
      <c r="A41" s="17" t="s">
        <v>1164</v>
      </c>
      <c r="B41" s="17" t="s">
        <v>1165</v>
      </c>
      <c r="C41" s="56">
        <v>2535578.1006647674</v>
      </c>
      <c r="D41" s="72"/>
    </row>
    <row r="42" spans="1:4">
      <c r="A42" s="17" t="s">
        <v>1166</v>
      </c>
      <c r="B42" s="17" t="s">
        <v>1167</v>
      </c>
      <c r="C42" s="56">
        <v>7015.5254930254932</v>
      </c>
      <c r="D42" s="72"/>
    </row>
    <row r="43" spans="1:4" ht="28.8">
      <c r="A43" s="17" t="s">
        <v>1168</v>
      </c>
      <c r="B43" s="17" t="s">
        <v>1169</v>
      </c>
      <c r="C43" s="56">
        <v>9459.8488548488549</v>
      </c>
      <c r="D43" s="72"/>
    </row>
    <row r="44" spans="1:4" ht="28.8">
      <c r="A44" s="17" t="s">
        <v>1170</v>
      </c>
      <c r="B44" s="17" t="s">
        <v>1171</v>
      </c>
      <c r="C44" s="56">
        <v>11787.775866109198</v>
      </c>
      <c r="D44" s="72"/>
    </row>
    <row r="45" spans="1:4">
      <c r="A45" s="17" t="s">
        <v>1172</v>
      </c>
      <c r="B45" s="17" t="s">
        <v>1173</v>
      </c>
      <c r="C45" s="56">
        <v>41775.708365708371</v>
      </c>
      <c r="D45" s="72"/>
    </row>
    <row r="46" spans="1:4" ht="28.8">
      <c r="A46" s="17" t="s">
        <v>1174</v>
      </c>
      <c r="B46" s="17" t="s">
        <v>1175</v>
      </c>
      <c r="C46" s="56">
        <v>31998.414918414921</v>
      </c>
      <c r="D46" s="72"/>
    </row>
    <row r="47" spans="1:4" ht="28.8">
      <c r="A47" s="17" t="s">
        <v>1176</v>
      </c>
      <c r="B47" s="17" t="s">
        <v>1177</v>
      </c>
      <c r="C47" s="56">
        <v>30474.680874680871</v>
      </c>
      <c r="D47" s="72"/>
    </row>
    <row r="48" spans="1:4">
      <c r="A48" s="17" t="s">
        <v>1178</v>
      </c>
      <c r="B48" s="17" t="s">
        <v>1179</v>
      </c>
      <c r="C48" s="56">
        <v>42918.50889850891</v>
      </c>
      <c r="D48" s="72"/>
    </row>
    <row r="49" spans="1:4">
      <c r="A49" s="17" t="s">
        <v>1180</v>
      </c>
      <c r="B49" s="17" t="s">
        <v>1181</v>
      </c>
      <c r="C49" s="56">
        <v>43959.727161727169</v>
      </c>
      <c r="D49" s="72"/>
    </row>
    <row r="50" spans="1:4">
      <c r="A50" s="17" t="s">
        <v>1182</v>
      </c>
      <c r="B50" s="17" t="s">
        <v>1183</v>
      </c>
      <c r="C50" s="56">
        <v>43959.727161727169</v>
      </c>
      <c r="D50" s="72"/>
    </row>
    <row r="51" spans="1:4">
      <c r="A51" s="17" t="s">
        <v>1184</v>
      </c>
      <c r="B51" s="17" t="s">
        <v>1185</v>
      </c>
      <c r="C51" s="56">
        <v>15444.737571070904</v>
      </c>
      <c r="D51" s="72"/>
    </row>
    <row r="52" spans="1:4" ht="28.8">
      <c r="A52" s="17" t="s">
        <v>1186</v>
      </c>
      <c r="B52" s="17" t="s">
        <v>1187</v>
      </c>
      <c r="C52" s="56">
        <v>27300.234950234946</v>
      </c>
      <c r="D52" s="72"/>
    </row>
    <row r="53" spans="1:4">
      <c r="A53" s="17" t="s">
        <v>1188</v>
      </c>
      <c r="B53" s="17" t="s">
        <v>1189</v>
      </c>
      <c r="C53" s="56">
        <v>20684.689643689642</v>
      </c>
      <c r="D53" s="72"/>
    </row>
    <row r="54" spans="1:4" ht="28.8">
      <c r="A54" s="17" t="s">
        <v>1190</v>
      </c>
      <c r="B54" s="17" t="s">
        <v>1191</v>
      </c>
      <c r="C54" s="56">
        <v>48285.438808105471</v>
      </c>
      <c r="D54" s="72"/>
    </row>
    <row r="55" spans="1:4" ht="28.8">
      <c r="A55" s="17" t="s">
        <v>1192</v>
      </c>
      <c r="B55" s="17" t="s">
        <v>1193</v>
      </c>
      <c r="C55" s="56">
        <v>35562.259542926207</v>
      </c>
      <c r="D55" s="72"/>
    </row>
    <row r="56" spans="1:4" ht="28.8">
      <c r="A56" s="17" t="s">
        <v>1194</v>
      </c>
      <c r="B56" s="17" t="s">
        <v>1195</v>
      </c>
      <c r="C56" s="56">
        <v>49131.957721291066</v>
      </c>
      <c r="D56" s="72"/>
    </row>
    <row r="57" spans="1:4" ht="28.8">
      <c r="A57" s="17" t="s">
        <v>1196</v>
      </c>
      <c r="B57" s="17" t="s">
        <v>1197</v>
      </c>
      <c r="C57" s="56">
        <v>52187.890997891001</v>
      </c>
      <c r="D57" s="72"/>
    </row>
    <row r="58" spans="1:4" ht="28.8">
      <c r="A58" s="17" t="s">
        <v>1198</v>
      </c>
      <c r="B58" s="17" t="s">
        <v>1199</v>
      </c>
      <c r="C58" s="56">
        <v>58494.456901123573</v>
      </c>
      <c r="D58" s="72"/>
    </row>
    <row r="59" spans="1:4" ht="28.8">
      <c r="A59" s="17" t="s">
        <v>1200</v>
      </c>
      <c r="B59" s="17" t="s">
        <v>1201</v>
      </c>
      <c r="C59" s="56">
        <v>59425.627705627703</v>
      </c>
      <c r="D59" s="72"/>
    </row>
    <row r="60" spans="1:4" ht="28.8">
      <c r="A60" s="17" t="s">
        <v>1202</v>
      </c>
      <c r="B60" s="17" t="s">
        <v>1203</v>
      </c>
      <c r="C60" s="56">
        <v>44357.591050924377</v>
      </c>
      <c r="D60" s="72"/>
    </row>
    <row r="61" spans="1:4" ht="28.8">
      <c r="A61" s="17" t="s">
        <v>1204</v>
      </c>
      <c r="B61" s="17" t="s">
        <v>1205</v>
      </c>
      <c r="C61" s="56">
        <v>72504.344914344925</v>
      </c>
      <c r="D61" s="72"/>
    </row>
    <row r="62" spans="1:4" ht="28.8">
      <c r="A62" s="17" t="s">
        <v>1206</v>
      </c>
      <c r="B62" s="17" t="s">
        <v>1207</v>
      </c>
      <c r="C62" s="56">
        <v>90746.827493494158</v>
      </c>
      <c r="D62" s="72"/>
    </row>
    <row r="63" spans="1:4" ht="28.8">
      <c r="A63" s="17" t="s">
        <v>1208</v>
      </c>
      <c r="B63" s="17" t="s">
        <v>1209</v>
      </c>
      <c r="C63" s="56">
        <v>113221.9046385713</v>
      </c>
      <c r="D63" s="72"/>
    </row>
    <row r="64" spans="1:4" ht="28.8">
      <c r="A64" s="17" t="s">
        <v>1210</v>
      </c>
      <c r="B64" s="17" t="s">
        <v>1211</v>
      </c>
      <c r="C64" s="56">
        <v>97434.32690766023</v>
      </c>
      <c r="D64" s="72"/>
    </row>
    <row r="65" spans="1:4">
      <c r="A65" s="17" t="s">
        <v>1212</v>
      </c>
      <c r="B65" s="17" t="s">
        <v>1213</v>
      </c>
      <c r="C65" s="56">
        <v>57800.311392311392</v>
      </c>
      <c r="D65" s="72"/>
    </row>
    <row r="66" spans="1:4" ht="28.8">
      <c r="A66" s="17" t="s">
        <v>1214</v>
      </c>
      <c r="B66" s="17" t="s">
        <v>1215</v>
      </c>
      <c r="C66" s="56">
        <v>81435.11944845278</v>
      </c>
      <c r="D66" s="72"/>
    </row>
    <row r="67" spans="1:4" ht="28.8">
      <c r="A67" s="17" t="s">
        <v>1216</v>
      </c>
      <c r="B67" s="17" t="s">
        <v>1217</v>
      </c>
      <c r="C67" s="56">
        <v>109624.19925753259</v>
      </c>
      <c r="D67" s="72"/>
    </row>
    <row r="68" spans="1:4" ht="28.8">
      <c r="A68" s="17" t="s">
        <v>1218</v>
      </c>
      <c r="B68" s="17" t="s">
        <v>1219</v>
      </c>
      <c r="C68" s="56">
        <v>96757.111777111772</v>
      </c>
      <c r="D68" s="72"/>
    </row>
    <row r="69" spans="1:4" ht="28.8">
      <c r="A69" s="17" t="s">
        <v>1220</v>
      </c>
      <c r="B69" s="17" t="s">
        <v>1221</v>
      </c>
      <c r="C69" s="56">
        <v>176795.47501880836</v>
      </c>
      <c r="D69" s="72"/>
    </row>
    <row r="70" spans="1:4" ht="28.8">
      <c r="A70" s="17" t="s">
        <v>1222</v>
      </c>
      <c r="B70" s="17" t="s">
        <v>1223</v>
      </c>
      <c r="C70" s="56">
        <v>247606.78210678208</v>
      </c>
      <c r="D70" s="72"/>
    </row>
    <row r="71" spans="1:4" ht="28.8">
      <c r="A71" s="17" t="s">
        <v>1224</v>
      </c>
      <c r="B71" s="17" t="s">
        <v>1225</v>
      </c>
      <c r="C71" s="56">
        <v>247606.78210678208</v>
      </c>
      <c r="D71" s="72"/>
    </row>
    <row r="72" spans="1:4" ht="28.8">
      <c r="A72" s="17" t="s">
        <v>1226</v>
      </c>
      <c r="B72" s="17" t="s">
        <v>1227</v>
      </c>
      <c r="C72" s="56">
        <v>211375.77262243925</v>
      </c>
      <c r="D72" s="72"/>
    </row>
    <row r="73" spans="1:4" ht="28.8">
      <c r="A73" s="17" t="s">
        <v>1228</v>
      </c>
      <c r="B73" s="17" t="s">
        <v>1229</v>
      </c>
      <c r="C73" s="56">
        <v>211375.77262243925</v>
      </c>
      <c r="D73" s="72"/>
    </row>
    <row r="74" spans="1:4" ht="28.8">
      <c r="A74" s="17" t="s">
        <v>1230</v>
      </c>
      <c r="B74" s="17" t="s">
        <v>1231</v>
      </c>
      <c r="C74" s="56">
        <v>350204.87438487436</v>
      </c>
      <c r="D74" s="72"/>
    </row>
    <row r="75" spans="1:4" ht="28.8">
      <c r="A75" s="17" t="s">
        <v>1232</v>
      </c>
      <c r="B75" s="17" t="s">
        <v>1233</v>
      </c>
      <c r="C75" s="56">
        <v>434560.48408381746</v>
      </c>
      <c r="D75" s="72"/>
    </row>
    <row r="76" spans="1:4" ht="28.8">
      <c r="A76" s="17" t="s">
        <v>1234</v>
      </c>
      <c r="B76" s="17" t="s">
        <v>1235</v>
      </c>
      <c r="C76" s="56">
        <v>259627.35067401736</v>
      </c>
      <c r="D76" s="72"/>
    </row>
    <row r="77" spans="1:4">
      <c r="A77" s="17" t="s">
        <v>1236</v>
      </c>
      <c r="B77" s="17" t="s">
        <v>1237</v>
      </c>
      <c r="C77" s="56">
        <v>261828.29984829982</v>
      </c>
      <c r="D77" s="72"/>
    </row>
    <row r="78" spans="1:4">
      <c r="A78" s="17" t="s">
        <v>1238</v>
      </c>
      <c r="B78" s="17" t="s">
        <v>1239</v>
      </c>
      <c r="C78" s="56">
        <v>96757.111777111772</v>
      </c>
      <c r="D78" s="72"/>
    </row>
    <row r="79" spans="1:4" ht="28.8">
      <c r="A79" s="17" t="s">
        <v>1240</v>
      </c>
      <c r="B79" s="17" t="s">
        <v>1241</v>
      </c>
      <c r="C79" s="56">
        <v>119443.81865048531</v>
      </c>
      <c r="D79" s="72"/>
    </row>
    <row r="80" spans="1:4" ht="28.8">
      <c r="A80" s="17" t="s">
        <v>1242</v>
      </c>
      <c r="B80" s="17" t="s">
        <v>1243</v>
      </c>
      <c r="C80" s="56">
        <v>271859.54896954901</v>
      </c>
      <c r="D80" s="72"/>
    </row>
    <row r="81" spans="1:4" ht="28.8">
      <c r="A81" s="17" t="s">
        <v>1244</v>
      </c>
      <c r="B81" s="17" t="s">
        <v>1245</v>
      </c>
      <c r="C81" s="56">
        <v>157071.58434158433</v>
      </c>
      <c r="D81" s="72"/>
    </row>
    <row r="82" spans="1:4" ht="28.8">
      <c r="A82" s="17" t="s">
        <v>1246</v>
      </c>
      <c r="B82" s="17" t="s">
        <v>1247</v>
      </c>
      <c r="C82" s="56">
        <v>259458.04689138022</v>
      </c>
      <c r="D82" s="72"/>
    </row>
    <row r="83" spans="1:4" ht="28.8">
      <c r="A83" s="17" t="s">
        <v>1248</v>
      </c>
      <c r="B83" s="17" t="s">
        <v>1249</v>
      </c>
      <c r="C83" s="56">
        <v>319772.5194558528</v>
      </c>
      <c r="D83" s="72"/>
    </row>
    <row r="84" spans="1:4" ht="28.8">
      <c r="A84" s="17" t="s">
        <v>1250</v>
      </c>
      <c r="B84" s="17" t="s">
        <v>1251</v>
      </c>
      <c r="C84" s="56">
        <v>87826.337243003916</v>
      </c>
      <c r="D84" s="72"/>
    </row>
    <row r="85" spans="1:4" ht="28.8">
      <c r="A85" s="17" t="s">
        <v>1252</v>
      </c>
      <c r="B85" s="17" t="s">
        <v>1253</v>
      </c>
      <c r="C85" s="56">
        <v>138829.10176243511</v>
      </c>
      <c r="D85" s="72"/>
    </row>
    <row r="86" spans="1:4" ht="28.8">
      <c r="A86" s="17" t="s">
        <v>1254</v>
      </c>
      <c r="B86" s="17" t="s">
        <v>1255</v>
      </c>
      <c r="C86" s="56">
        <v>155166.91678691676</v>
      </c>
      <c r="D86" s="72"/>
    </row>
    <row r="87" spans="1:4" ht="28.8">
      <c r="A87" s="17" t="s">
        <v>1256</v>
      </c>
      <c r="B87" s="17" t="s">
        <v>1257</v>
      </c>
      <c r="C87" s="56">
        <v>512778.83166216494</v>
      </c>
      <c r="D87" s="72"/>
    </row>
    <row r="88" spans="1:4" ht="28.8">
      <c r="A88" s="17" t="s">
        <v>1258</v>
      </c>
      <c r="B88" s="17" t="s">
        <v>1259</v>
      </c>
      <c r="C88" s="56">
        <v>332174.02153402154</v>
      </c>
      <c r="D88" s="72"/>
    </row>
    <row r="89" spans="1:4" ht="28.8">
      <c r="A89" s="17" t="s">
        <v>1260</v>
      </c>
      <c r="B89" s="17" t="s">
        <v>1261</v>
      </c>
      <c r="C89" s="56">
        <v>360617.05701705697</v>
      </c>
      <c r="D89" s="72"/>
    </row>
    <row r="90" spans="1:4" ht="28.8">
      <c r="A90" s="17" t="s">
        <v>1262</v>
      </c>
      <c r="B90" s="17" t="s">
        <v>1263</v>
      </c>
      <c r="C90" s="56">
        <v>271859.54896954901</v>
      </c>
      <c r="D90" s="72"/>
    </row>
    <row r="91" spans="1:4" ht="28.8">
      <c r="A91" s="17" t="s">
        <v>1264</v>
      </c>
      <c r="B91" s="17" t="s">
        <v>1265</v>
      </c>
      <c r="C91" s="56">
        <v>845079.8310331644</v>
      </c>
      <c r="D91" s="72"/>
    </row>
    <row r="92" spans="1:4">
      <c r="A92" s="17" t="s">
        <v>1266</v>
      </c>
      <c r="B92" s="17" t="s">
        <v>1267</v>
      </c>
      <c r="C92" s="56">
        <v>845079.8310331644</v>
      </c>
      <c r="D92" s="72"/>
    </row>
    <row r="93" spans="1:4" ht="28.8">
      <c r="A93" s="17" t="s">
        <v>1268</v>
      </c>
      <c r="B93" s="17" t="s">
        <v>1269</v>
      </c>
      <c r="C93" s="56">
        <v>577833.81014047679</v>
      </c>
      <c r="D93" s="72"/>
    </row>
    <row r="94" spans="1:4" ht="28.8">
      <c r="A94" s="17" t="s">
        <v>1270</v>
      </c>
      <c r="B94" s="17" t="s">
        <v>1271</v>
      </c>
      <c r="C94" s="56">
        <v>506895.52521552524</v>
      </c>
      <c r="D94" s="72"/>
    </row>
    <row r="95" spans="1:4">
      <c r="A95" s="17" t="s">
        <v>1272</v>
      </c>
      <c r="B95" s="17" t="s">
        <v>1273</v>
      </c>
      <c r="C95" s="56">
        <v>694018.53097519767</v>
      </c>
      <c r="D95" s="72"/>
    </row>
    <row r="96" spans="1:4">
      <c r="A96" s="17" t="s">
        <v>1274</v>
      </c>
      <c r="B96" s="17" t="s">
        <v>1275</v>
      </c>
      <c r="C96" s="56">
        <v>567379.30156263488</v>
      </c>
      <c r="D96" s="72"/>
    </row>
    <row r="97" spans="1:4" ht="28.8">
      <c r="A97" s="17" t="s">
        <v>1276</v>
      </c>
      <c r="B97" s="17" t="s">
        <v>1277</v>
      </c>
      <c r="C97" s="56">
        <v>567379.30156263488</v>
      </c>
      <c r="D97" s="72"/>
    </row>
    <row r="98" spans="1:4">
      <c r="A98" s="17" t="s">
        <v>1278</v>
      </c>
      <c r="B98" s="17" t="s">
        <v>1279</v>
      </c>
      <c r="C98" s="56">
        <v>541221.86714520049</v>
      </c>
      <c r="D98" s="72"/>
    </row>
    <row r="99" spans="1:4">
      <c r="A99" s="17" t="s">
        <v>1280</v>
      </c>
      <c r="B99" s="17" t="s">
        <v>1281</v>
      </c>
      <c r="C99" s="56">
        <v>1177423.1563498231</v>
      </c>
      <c r="D99" s="72"/>
    </row>
    <row r="100" spans="1:4" ht="28.8">
      <c r="A100" s="17" t="s">
        <v>1282</v>
      </c>
      <c r="B100" s="17" t="s">
        <v>1283</v>
      </c>
      <c r="C100" s="56">
        <v>887532.7545294211</v>
      </c>
      <c r="D100" s="72"/>
    </row>
    <row r="101" spans="1:4">
      <c r="A101" s="17" t="s">
        <v>1284</v>
      </c>
      <c r="B101" s="17" t="s">
        <v>1285</v>
      </c>
      <c r="C101" s="56">
        <v>887532.7545294211</v>
      </c>
      <c r="D101" s="72"/>
    </row>
    <row r="102" spans="1:4">
      <c r="A102" s="17" t="s">
        <v>1286</v>
      </c>
      <c r="B102" s="17" t="s">
        <v>1287</v>
      </c>
      <c r="C102" s="56">
        <v>724450.88590421923</v>
      </c>
      <c r="D102" s="72"/>
    </row>
    <row r="103" spans="1:4">
      <c r="A103" s="17" t="s">
        <v>1288</v>
      </c>
      <c r="B103" s="17" t="s">
        <v>1289</v>
      </c>
      <c r="C103" s="56">
        <v>724450.88590421923</v>
      </c>
      <c r="D103" s="72"/>
    </row>
    <row r="104" spans="1:4" ht="28.8">
      <c r="A104" s="17" t="s">
        <v>1290</v>
      </c>
      <c r="B104" s="17" t="s">
        <v>1291</v>
      </c>
      <c r="C104" s="56">
        <v>1103606.7071200404</v>
      </c>
      <c r="D104" s="72"/>
    </row>
    <row r="105" spans="1:4" ht="28.8">
      <c r="A105" s="17" t="s">
        <v>1292</v>
      </c>
      <c r="B105" s="17" t="s">
        <v>1293</v>
      </c>
      <c r="C105" s="56">
        <v>1056794.2112208779</v>
      </c>
      <c r="D105" s="72"/>
    </row>
    <row r="106" spans="1:4" ht="28.8">
      <c r="A106" s="17" t="s">
        <v>1294</v>
      </c>
      <c r="B106" s="17" t="s">
        <v>1295</v>
      </c>
      <c r="C106" s="56">
        <v>2174368.4804084804</v>
      </c>
      <c r="D106" s="72"/>
    </row>
    <row r="107" spans="1:4" ht="28.8">
      <c r="A107" s="17" t="s">
        <v>1296</v>
      </c>
      <c r="B107" s="17" t="s">
        <v>1297</v>
      </c>
      <c r="C107" s="56">
        <v>1871441.6873250206</v>
      </c>
      <c r="D107" s="72"/>
    </row>
    <row r="108" spans="1:4" ht="28.8">
      <c r="A108" s="17" t="s">
        <v>1298</v>
      </c>
      <c r="B108" s="17" t="s">
        <v>1299</v>
      </c>
      <c r="C108" s="56">
        <v>1871441.6873250206</v>
      </c>
      <c r="D108" s="72"/>
    </row>
    <row r="109" spans="1:4">
      <c r="A109" s="17" t="s">
        <v>1300</v>
      </c>
      <c r="B109" s="17" t="s">
        <v>1301</v>
      </c>
      <c r="C109" s="56">
        <v>1277764.8000147999</v>
      </c>
      <c r="D109" s="72"/>
    </row>
    <row r="110" spans="1:4">
      <c r="A110" s="17" t="s">
        <v>1302</v>
      </c>
      <c r="B110" s="17" t="s">
        <v>1303</v>
      </c>
      <c r="C110" s="56">
        <v>440570.76836743503</v>
      </c>
      <c r="D110" s="72"/>
    </row>
    <row r="111" spans="1:4">
      <c r="A111" s="17" t="s">
        <v>1304</v>
      </c>
      <c r="B111" s="17" t="s">
        <v>1305</v>
      </c>
      <c r="C111" s="56">
        <v>483023.6918636919</v>
      </c>
      <c r="D111" s="72"/>
    </row>
    <row r="112" spans="1:4">
      <c r="A112" s="17"/>
      <c r="B112" s="17" t="s">
        <v>1306</v>
      </c>
      <c r="C112" s="56">
        <v>0</v>
      </c>
      <c r="D112" s="72"/>
    </row>
    <row r="113" spans="1:4">
      <c r="A113" s="17" t="s">
        <v>1307</v>
      </c>
      <c r="B113" s="17" t="s">
        <v>1090</v>
      </c>
      <c r="C113" s="56">
        <v>1811127.214760548</v>
      </c>
      <c r="D113" s="72"/>
    </row>
    <row r="114" spans="1:4" ht="28.8">
      <c r="A114" s="17" t="s">
        <v>1308</v>
      </c>
      <c r="B114" s="17" t="s">
        <v>1309</v>
      </c>
      <c r="C114" s="56">
        <v>1931925.4636721301</v>
      </c>
      <c r="D114" s="72"/>
    </row>
    <row r="115" spans="1:4">
      <c r="A115" s="17"/>
      <c r="B115" s="17" t="s">
        <v>1808</v>
      </c>
      <c r="C115" s="56"/>
      <c r="D115" s="53"/>
    </row>
    <row r="116" spans="1:4">
      <c r="A116" s="17" t="s">
        <v>1809</v>
      </c>
      <c r="B116" s="17" t="s">
        <v>1810</v>
      </c>
      <c r="C116" s="56">
        <v>3421.4755345664439</v>
      </c>
      <c r="D116" s="53"/>
    </row>
    <row r="117" spans="1:4">
      <c r="A117" s="17" t="s">
        <v>1811</v>
      </c>
      <c r="B117" s="17" t="s">
        <v>1812</v>
      </c>
      <c r="C117" s="56">
        <v>4238.7510671147038</v>
      </c>
      <c r="D117" s="53"/>
    </row>
    <row r="118" spans="1:4">
      <c r="A118" s="17" t="s">
        <v>1813</v>
      </c>
      <c r="B118" s="17" t="s">
        <v>1814</v>
      </c>
      <c r="C118" s="56">
        <v>21416.928503595169</v>
      </c>
      <c r="D118" s="53"/>
    </row>
    <row r="119" spans="1:4" ht="28.8">
      <c r="A119" s="17" t="s">
        <v>1815</v>
      </c>
      <c r="B119" s="17" t="s">
        <v>1816</v>
      </c>
      <c r="C119" s="56">
        <v>17057.356100689434</v>
      </c>
      <c r="D119" s="53"/>
    </row>
    <row r="120" spans="1:4">
      <c r="A120" s="17" t="s">
        <v>1817</v>
      </c>
      <c r="B120" s="17" t="s">
        <v>1818</v>
      </c>
      <c r="C120" s="56">
        <v>10158.226958226956</v>
      </c>
      <c r="D120" s="53"/>
    </row>
    <row r="121" spans="1:4" ht="28.8">
      <c r="A121" s="17" t="s">
        <v>1819</v>
      </c>
      <c r="B121" s="17" t="s">
        <v>1820</v>
      </c>
      <c r="C121" s="56">
        <v>15681.762866762867</v>
      </c>
      <c r="D121" s="53"/>
    </row>
    <row r="122" spans="1:4" ht="28.8">
      <c r="A122" s="17" t="s">
        <v>1821</v>
      </c>
      <c r="B122" s="17" t="s">
        <v>1822</v>
      </c>
      <c r="C122" s="56">
        <v>20464.594726261395</v>
      </c>
      <c r="D122" s="53"/>
    </row>
    <row r="123" spans="1:4">
      <c r="A123" s="17" t="s">
        <v>1823</v>
      </c>
      <c r="B123" s="17" t="s">
        <v>1824</v>
      </c>
      <c r="C123" s="56">
        <v>17057.356100689434</v>
      </c>
      <c r="D123" s="53"/>
    </row>
    <row r="124" spans="1:4" ht="28.8">
      <c r="A124" s="17" t="s">
        <v>1825</v>
      </c>
      <c r="B124" s="17" t="s">
        <v>1826</v>
      </c>
      <c r="C124" s="56">
        <v>43341.768355101696</v>
      </c>
      <c r="D124" s="53"/>
    </row>
    <row r="125" spans="1:4">
      <c r="A125" s="17" t="s">
        <v>1827</v>
      </c>
      <c r="B125" s="17" t="s">
        <v>1828</v>
      </c>
      <c r="C125" s="56">
        <v>9100.0783167449827</v>
      </c>
      <c r="D125" s="53"/>
    </row>
    <row r="126" spans="1:4">
      <c r="A126" s="17" t="s">
        <v>1829</v>
      </c>
      <c r="B126" s="17" t="s">
        <v>1830</v>
      </c>
      <c r="C126" s="56">
        <v>17925.037986704658</v>
      </c>
      <c r="D126" s="53"/>
    </row>
    <row r="127" spans="1:4">
      <c r="A127" s="17" t="s">
        <v>1831</v>
      </c>
      <c r="B127" s="17" t="s">
        <v>1832</v>
      </c>
      <c r="C127" s="56">
        <v>13650.117475117473</v>
      </c>
      <c r="D127" s="53"/>
    </row>
    <row r="128" spans="1:4" ht="28.8">
      <c r="A128" s="17" t="s">
        <v>1833</v>
      </c>
      <c r="B128" s="17" t="s">
        <v>1834</v>
      </c>
      <c r="C128" s="56">
        <v>29162.576559243225</v>
      </c>
      <c r="D128" s="53"/>
    </row>
    <row r="129" spans="1:4" ht="28.8">
      <c r="A129" s="17" t="s">
        <v>1835</v>
      </c>
      <c r="B129" s="17" t="s">
        <v>1836</v>
      </c>
      <c r="C129" s="56">
        <v>58536.782846782851</v>
      </c>
      <c r="D129" s="53"/>
    </row>
    <row r="130" spans="1:4">
      <c r="A130" s="17" t="s">
        <v>1837</v>
      </c>
      <c r="B130" s="17" t="s">
        <v>1838</v>
      </c>
      <c r="C130" s="56">
        <v>30940.26627693294</v>
      </c>
      <c r="D130" s="53"/>
    </row>
    <row r="131" spans="1:4" ht="28.8">
      <c r="A131" s="17" t="s">
        <v>1839</v>
      </c>
      <c r="B131" s="17" t="s">
        <v>1840</v>
      </c>
      <c r="C131" s="56">
        <v>30940.26627693294</v>
      </c>
      <c r="D131" s="53"/>
    </row>
    <row r="132" spans="1:4">
      <c r="A132" s="17" t="s">
        <v>1841</v>
      </c>
      <c r="B132" s="17" t="s">
        <v>1842</v>
      </c>
      <c r="C132" s="56">
        <v>45119.4580727914</v>
      </c>
      <c r="D132" s="53"/>
    </row>
    <row r="133" spans="1:4">
      <c r="A133" s="17" t="s">
        <v>1843</v>
      </c>
      <c r="B133" s="17" t="s">
        <v>1844</v>
      </c>
      <c r="C133" s="56">
        <v>42706.879170212502</v>
      </c>
      <c r="D133" s="53"/>
    </row>
    <row r="134" spans="1:4" ht="28.8">
      <c r="A134" s="17" t="s">
        <v>1845</v>
      </c>
      <c r="B134" s="17" t="s">
        <v>1846</v>
      </c>
      <c r="C134" s="56">
        <v>40495.348509515177</v>
      </c>
      <c r="D134" s="53"/>
    </row>
    <row r="135" spans="1:4">
      <c r="A135" s="17" t="s">
        <v>1847</v>
      </c>
      <c r="B135" s="17" t="s">
        <v>1848</v>
      </c>
      <c r="C135" s="56">
        <v>56928.396911730233</v>
      </c>
      <c r="D135" s="53"/>
    </row>
    <row r="136" spans="1:4">
      <c r="A136" s="17" t="s">
        <v>1849</v>
      </c>
      <c r="B136" s="17" t="s">
        <v>1850</v>
      </c>
      <c r="C136" s="56">
        <v>182001.56633489963</v>
      </c>
      <c r="D136" s="53"/>
    </row>
    <row r="137" spans="1:4">
      <c r="A137" s="17" t="s">
        <v>1851</v>
      </c>
      <c r="B137" s="17" t="s">
        <v>1852</v>
      </c>
      <c r="C137" s="56">
        <v>9555.0822325822337</v>
      </c>
      <c r="D137" s="53"/>
    </row>
    <row r="138" spans="1:4">
      <c r="A138" s="17" t="s">
        <v>1853</v>
      </c>
      <c r="B138" s="17" t="s">
        <v>1854</v>
      </c>
      <c r="C138" s="56">
        <v>15300.829355829355</v>
      </c>
      <c r="D138" s="53"/>
    </row>
    <row r="139" spans="1:4">
      <c r="A139" s="17" t="s">
        <v>1855</v>
      </c>
      <c r="B139" s="17" t="s">
        <v>1856</v>
      </c>
      <c r="C139" s="56">
        <v>28210.242781909448</v>
      </c>
      <c r="D139" s="53"/>
    </row>
    <row r="140" spans="1:4" ht="28.8">
      <c r="A140" s="17" t="s">
        <v>1857</v>
      </c>
      <c r="B140" s="17" t="s">
        <v>1858</v>
      </c>
      <c r="C140" s="56">
        <v>55573.966650633323</v>
      </c>
      <c r="D140" s="53"/>
    </row>
    <row r="141" spans="1:4">
      <c r="A141" s="17" t="s">
        <v>1859</v>
      </c>
      <c r="B141" s="17" t="s">
        <v>1860</v>
      </c>
      <c r="C141" s="56">
        <v>61372.621205954536</v>
      </c>
      <c r="D141" s="53"/>
    </row>
    <row r="142" spans="1:4" ht="28.8">
      <c r="A142" s="17" t="s">
        <v>1861</v>
      </c>
      <c r="B142" s="17" t="s">
        <v>1862</v>
      </c>
      <c r="C142" s="56">
        <v>79191.844328510982</v>
      </c>
      <c r="D142" s="53"/>
    </row>
    <row r="143" spans="1:4" ht="28.8">
      <c r="A143" s="17" t="s">
        <v>1863</v>
      </c>
      <c r="B143" s="17" t="s">
        <v>1864</v>
      </c>
      <c r="C143" s="56">
        <v>52272.542889209552</v>
      </c>
      <c r="D143" s="53"/>
    </row>
    <row r="144" spans="1:4">
      <c r="A144" s="17" t="s">
        <v>1865</v>
      </c>
      <c r="B144" s="17" t="s">
        <v>1866</v>
      </c>
      <c r="C144" s="56">
        <v>72800.626533959861</v>
      </c>
      <c r="D144" s="53"/>
    </row>
    <row r="145" spans="1:4" ht="28.8">
      <c r="A145" s="17" t="s">
        <v>1867</v>
      </c>
      <c r="B145" s="17" t="s">
        <v>1868</v>
      </c>
      <c r="C145" s="56">
        <v>101074.35823435824</v>
      </c>
      <c r="D145" s="53"/>
    </row>
    <row r="146" spans="1:4" ht="28.8">
      <c r="A146" s="17" t="s">
        <v>1869</v>
      </c>
      <c r="B146" s="17" t="s">
        <v>1870</v>
      </c>
      <c r="C146" s="56">
        <v>181239.69931303264</v>
      </c>
      <c r="D146" s="53"/>
    </row>
    <row r="147" spans="1:4" ht="28.8">
      <c r="A147" s="17" t="s">
        <v>1871</v>
      </c>
      <c r="B147" s="17" t="s">
        <v>1872</v>
      </c>
      <c r="C147" s="56">
        <v>102375.88106338106</v>
      </c>
      <c r="D147" s="53"/>
    </row>
    <row r="148" spans="1:4" ht="28.8">
      <c r="A148" s="17" t="s">
        <v>1873</v>
      </c>
      <c r="B148" s="17" t="s">
        <v>1874</v>
      </c>
      <c r="C148" s="56">
        <v>117454.49920449923</v>
      </c>
      <c r="D148" s="53"/>
    </row>
    <row r="149" spans="1:4" ht="28.8">
      <c r="A149" s="17" t="s">
        <v>1875</v>
      </c>
      <c r="B149" s="17" t="s">
        <v>1876</v>
      </c>
      <c r="C149" s="56">
        <v>13394.271160937828</v>
      </c>
      <c r="D149" s="53"/>
    </row>
    <row r="150" spans="1:4">
      <c r="A150" s="17" t="s">
        <v>1877</v>
      </c>
      <c r="B150" s="17" t="s">
        <v>1878</v>
      </c>
      <c r="C150" s="56">
        <v>30136.073309406638</v>
      </c>
      <c r="D150" s="53"/>
    </row>
    <row r="151" spans="1:4">
      <c r="A151" s="17" t="s">
        <v>1879</v>
      </c>
      <c r="B151" s="17" t="s">
        <v>1880</v>
      </c>
      <c r="C151" s="56">
        <v>75075.646113146126</v>
      </c>
      <c r="D151" s="53"/>
    </row>
    <row r="152" spans="1:4" ht="28.8">
      <c r="A152" s="17" t="s">
        <v>1881</v>
      </c>
      <c r="B152" s="17" t="s">
        <v>1882</v>
      </c>
      <c r="C152" s="56">
        <v>32760.28194028194</v>
      </c>
      <c r="D152" s="53"/>
    </row>
    <row r="153" spans="1:4" ht="28.8">
      <c r="A153" s="17" t="s">
        <v>1883</v>
      </c>
      <c r="B153" s="17" t="s">
        <v>1884</v>
      </c>
      <c r="C153" s="56">
        <v>43405.257273590607</v>
      </c>
      <c r="D153" s="53"/>
    </row>
    <row r="154" spans="1:4" ht="28.8">
      <c r="A154" s="17" t="s">
        <v>1885</v>
      </c>
      <c r="B154" s="17" t="s">
        <v>1886</v>
      </c>
      <c r="C154" s="56">
        <v>54134.884498217827</v>
      </c>
      <c r="D154" s="53"/>
    </row>
    <row r="155" spans="1:4" ht="28.8">
      <c r="A155" s="17" t="s">
        <v>1887</v>
      </c>
      <c r="B155" s="17" t="s">
        <v>1888</v>
      </c>
      <c r="C155" s="56">
        <v>75340.18327351661</v>
      </c>
      <c r="D155" s="53"/>
    </row>
    <row r="156" spans="1:4" ht="28.8">
      <c r="A156" s="17" t="s">
        <v>1889</v>
      </c>
      <c r="B156" s="17" t="s">
        <v>1890</v>
      </c>
      <c r="C156" s="56">
        <v>71954.107620774288</v>
      </c>
      <c r="D156" s="53"/>
    </row>
    <row r="157" spans="1:4" ht="28.8">
      <c r="A157" s="17" t="s">
        <v>1891</v>
      </c>
      <c r="B157" s="17" t="s">
        <v>1892</v>
      </c>
      <c r="C157" s="56">
        <v>107931.16143116145</v>
      </c>
      <c r="D157" s="53"/>
    </row>
    <row r="158" spans="1:4" ht="28.8">
      <c r="A158" s="17" t="s">
        <v>1893</v>
      </c>
      <c r="B158" s="17" t="s">
        <v>1894</v>
      </c>
      <c r="C158" s="56">
        <v>90090.775335775339</v>
      </c>
      <c r="D158" s="5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2"/>
  <sheetViews>
    <sheetView topLeftCell="A55" workbookViewId="0">
      <selection activeCell="F67" sqref="F67"/>
    </sheetView>
  </sheetViews>
  <sheetFormatPr defaultRowHeight="14.4"/>
  <cols>
    <col min="1" max="1" width="18.77734375" customWidth="1"/>
    <col min="2" max="2" width="72" customWidth="1"/>
    <col min="3" max="3" width="13.109375" customWidth="1"/>
    <col min="4" max="4" width="13.33203125" customWidth="1"/>
  </cols>
  <sheetData>
    <row r="1" spans="1:4">
      <c r="A1" s="17"/>
      <c r="B1" s="17" t="s">
        <v>1387</v>
      </c>
      <c r="C1" s="56"/>
      <c r="D1" s="72"/>
    </row>
    <row r="2" spans="1:4">
      <c r="A2" s="17" t="s">
        <v>1388</v>
      </c>
      <c r="B2" s="17" t="s">
        <v>1389</v>
      </c>
      <c r="C2" s="56">
        <v>6687.49941416608</v>
      </c>
      <c r="D2" s="72"/>
    </row>
    <row r="3" spans="1:4">
      <c r="A3" s="17" t="s">
        <v>1390</v>
      </c>
      <c r="B3" s="17" t="s">
        <v>1391</v>
      </c>
      <c r="C3" s="56">
        <v>7851.462919796254</v>
      </c>
      <c r="D3" s="72"/>
    </row>
    <row r="4" spans="1:4">
      <c r="A4" s="17" t="s">
        <v>1392</v>
      </c>
      <c r="B4" s="17" t="s">
        <v>1393</v>
      </c>
      <c r="C4" s="56">
        <v>7851.462919796254</v>
      </c>
      <c r="D4" s="72"/>
    </row>
    <row r="5" spans="1:4">
      <c r="A5" s="17" t="s">
        <v>1394</v>
      </c>
      <c r="B5" s="17" t="s">
        <v>1395</v>
      </c>
      <c r="C5" s="56">
        <v>7610.2050295383624</v>
      </c>
      <c r="D5" s="72"/>
    </row>
    <row r="6" spans="1:4" ht="28.8">
      <c r="A6" s="17" t="s">
        <v>1396</v>
      </c>
      <c r="B6" s="17" t="s">
        <v>1397</v>
      </c>
      <c r="C6" s="56">
        <v>8829.1922645255981</v>
      </c>
      <c r="D6" s="72"/>
    </row>
    <row r="7" spans="1:4" ht="28.8">
      <c r="A7" s="17" t="s">
        <v>1398</v>
      </c>
      <c r="B7" s="17" t="s">
        <v>1399</v>
      </c>
      <c r="C7" s="56">
        <v>8537.1432394765743</v>
      </c>
      <c r="D7" s="72"/>
    </row>
    <row r="8" spans="1:4">
      <c r="A8" s="17" t="s">
        <v>1400</v>
      </c>
      <c r="B8" s="17" t="s">
        <v>1401</v>
      </c>
      <c r="C8" s="56">
        <v>7491.6923816923809</v>
      </c>
      <c r="D8" s="72"/>
    </row>
    <row r="9" spans="1:4">
      <c r="A9" s="17" t="s">
        <v>1402</v>
      </c>
      <c r="B9" s="17" t="s">
        <v>1403</v>
      </c>
      <c r="C9" s="56">
        <v>9692.6415559748893</v>
      </c>
      <c r="D9" s="72"/>
    </row>
    <row r="10" spans="1:4">
      <c r="A10" s="17" t="s">
        <v>1404</v>
      </c>
      <c r="B10" s="17" t="s">
        <v>1405</v>
      </c>
      <c r="C10" s="56">
        <v>9692.6415559748893</v>
      </c>
      <c r="D10" s="72"/>
    </row>
    <row r="11" spans="1:4" ht="28.8">
      <c r="A11" s="17" t="s">
        <v>1406</v>
      </c>
      <c r="B11" s="17" t="s">
        <v>1407</v>
      </c>
      <c r="C11" s="56">
        <v>9692.6415559748893</v>
      </c>
      <c r="D11" s="72"/>
    </row>
    <row r="12" spans="1:4">
      <c r="A12" s="17" t="s">
        <v>1408</v>
      </c>
      <c r="B12" s="17" t="s">
        <v>1409</v>
      </c>
      <c r="C12" s="56">
        <v>9692.6415559748893</v>
      </c>
      <c r="D12" s="72"/>
    </row>
    <row r="13" spans="1:4">
      <c r="A13" s="17" t="s">
        <v>1410</v>
      </c>
      <c r="B13" s="17" t="s">
        <v>1411</v>
      </c>
      <c r="C13" s="56">
        <v>9692.6415559748893</v>
      </c>
      <c r="D13" s="72"/>
    </row>
    <row r="14" spans="1:4">
      <c r="A14" s="17" t="s">
        <v>1412</v>
      </c>
      <c r="B14" s="17" t="s">
        <v>1413</v>
      </c>
      <c r="C14" s="56">
        <v>8719.1448058114729</v>
      </c>
      <c r="D14" s="72"/>
    </row>
    <row r="15" spans="1:4">
      <c r="A15" s="17" t="s">
        <v>1414</v>
      </c>
      <c r="B15" s="17" t="s">
        <v>1415</v>
      </c>
      <c r="C15" s="56">
        <v>53330.69153069154</v>
      </c>
      <c r="D15" s="72"/>
    </row>
    <row r="16" spans="1:4">
      <c r="A16" s="17" t="s">
        <v>1416</v>
      </c>
      <c r="B16" s="17" t="s">
        <v>1417</v>
      </c>
      <c r="C16" s="56">
        <v>72504.344914344925</v>
      </c>
      <c r="D16" s="72"/>
    </row>
    <row r="17" spans="1:4">
      <c r="A17" s="17" t="s">
        <v>1418</v>
      </c>
      <c r="B17" s="17" t="s">
        <v>1419</v>
      </c>
      <c r="C17" s="56">
        <v>9861.9453386120058</v>
      </c>
      <c r="D17" s="72"/>
    </row>
    <row r="18" spans="1:4">
      <c r="A18" s="17" t="s">
        <v>1420</v>
      </c>
      <c r="B18" s="17" t="s">
        <v>1421</v>
      </c>
      <c r="C18" s="56">
        <v>16845.726372393041</v>
      </c>
      <c r="D18" s="72"/>
    </row>
    <row r="19" spans="1:4">
      <c r="A19" s="17" t="s">
        <v>1422</v>
      </c>
      <c r="B19" s="17" t="s">
        <v>1423</v>
      </c>
      <c r="C19" s="56">
        <v>74662.968142968151</v>
      </c>
      <c r="D19" s="72"/>
    </row>
    <row r="20" spans="1:4">
      <c r="A20" s="17" t="s">
        <v>1424</v>
      </c>
      <c r="B20" s="17" t="s">
        <v>1425</v>
      </c>
      <c r="C20" s="56">
        <v>85117.476720810053</v>
      </c>
      <c r="D20" s="72"/>
    </row>
    <row r="21" spans="1:4">
      <c r="A21" s="17" t="s">
        <v>1426</v>
      </c>
      <c r="B21" s="17" t="s">
        <v>1427</v>
      </c>
      <c r="C21" s="56">
        <v>54304.188280854956</v>
      </c>
      <c r="D21" s="72"/>
    </row>
    <row r="22" spans="1:4" ht="28.8">
      <c r="A22" s="17" t="s">
        <v>1428</v>
      </c>
      <c r="B22" s="17" t="s">
        <v>1429</v>
      </c>
      <c r="C22" s="56">
        <v>181112.72147605481</v>
      </c>
      <c r="D22" s="72"/>
    </row>
    <row r="23" spans="1:4" ht="28.8">
      <c r="A23" s="17" t="s">
        <v>1430</v>
      </c>
      <c r="B23" s="17" t="s">
        <v>1431</v>
      </c>
      <c r="C23" s="56">
        <v>66324.756848090183</v>
      </c>
      <c r="D23" s="72"/>
    </row>
    <row r="24" spans="1:4" ht="28.8">
      <c r="A24" s="17" t="s">
        <v>1432</v>
      </c>
      <c r="B24" s="17" t="s">
        <v>1433</v>
      </c>
      <c r="C24" s="56">
        <v>108777.68034434701</v>
      </c>
      <c r="D24" s="72"/>
    </row>
    <row r="25" spans="1:4" ht="28.8">
      <c r="A25" s="17" t="s">
        <v>1434</v>
      </c>
      <c r="B25" s="17" t="s">
        <v>1435</v>
      </c>
      <c r="C25" s="56">
        <v>392657.79788113118</v>
      </c>
      <c r="D25" s="72"/>
    </row>
    <row r="26" spans="1:4" ht="28.8">
      <c r="A26" s="17" t="s">
        <v>1436</v>
      </c>
      <c r="B26" s="17" t="s">
        <v>1437</v>
      </c>
      <c r="C26" s="56">
        <v>63404.266597599919</v>
      </c>
      <c r="D26" s="72"/>
    </row>
    <row r="27" spans="1:4" ht="28.8">
      <c r="A27" s="17" t="s">
        <v>1438</v>
      </c>
      <c r="B27" s="17" t="s">
        <v>1439</v>
      </c>
      <c r="C27" s="56">
        <v>96757.111777111772</v>
      </c>
      <c r="D27" s="72"/>
    </row>
    <row r="28" spans="1:4" ht="28.8">
      <c r="A28" s="17" t="s">
        <v>1440</v>
      </c>
      <c r="B28" s="17" t="s">
        <v>1441</v>
      </c>
      <c r="C28" s="56">
        <v>120798.24891158224</v>
      </c>
      <c r="D28" s="72"/>
    </row>
    <row r="29" spans="1:4" ht="28.8">
      <c r="A29" s="17" t="s">
        <v>1442</v>
      </c>
      <c r="B29" s="17" t="s">
        <v>1443</v>
      </c>
      <c r="C29" s="56">
        <v>603652.63699263707</v>
      </c>
      <c r="D29" s="72"/>
    </row>
    <row r="30" spans="1:4" ht="28.8">
      <c r="A30" s="17" t="s">
        <v>1444</v>
      </c>
      <c r="B30" s="17" t="s">
        <v>1445</v>
      </c>
      <c r="C30" s="56">
        <v>694568.76826876821</v>
      </c>
      <c r="D30" s="72"/>
    </row>
    <row r="31" spans="1:4" ht="28.8">
      <c r="A31" s="17" t="s">
        <v>1446</v>
      </c>
      <c r="B31" s="17" t="s">
        <v>1447</v>
      </c>
      <c r="C31" s="56">
        <v>784934.66225132893</v>
      </c>
      <c r="D31" s="72"/>
    </row>
    <row r="32" spans="1:4" ht="28.8">
      <c r="A32" s="17" t="s">
        <v>1448</v>
      </c>
      <c r="B32" s="17" t="s">
        <v>1449</v>
      </c>
      <c r="C32" s="56">
        <v>163081.86862520195</v>
      </c>
      <c r="D32" s="72"/>
    </row>
    <row r="33" spans="1:4" ht="28.8">
      <c r="A33" s="17" t="s">
        <v>1450</v>
      </c>
      <c r="B33" s="17" t="s">
        <v>1451</v>
      </c>
      <c r="C33" s="56">
        <v>157071.58434158433</v>
      </c>
      <c r="D33" s="72"/>
    </row>
    <row r="34" spans="1:4">
      <c r="A34" s="17" t="s">
        <v>1452</v>
      </c>
      <c r="B34" s="17" t="s">
        <v>1453</v>
      </c>
      <c r="C34" s="56">
        <v>112460.03761670429</v>
      </c>
      <c r="D34" s="72"/>
    </row>
    <row r="35" spans="1:4">
      <c r="A35" s="17" t="s">
        <v>1454</v>
      </c>
      <c r="B35" s="17" t="s">
        <v>1455</v>
      </c>
      <c r="C35" s="56">
        <v>56039.552052885389</v>
      </c>
      <c r="D35" s="72"/>
    </row>
    <row r="36" spans="1:4">
      <c r="A36" s="17" t="s">
        <v>1456</v>
      </c>
      <c r="B36" s="17" t="s">
        <v>1457</v>
      </c>
      <c r="C36" s="56">
        <v>74832.271925605266</v>
      </c>
      <c r="D36" s="72"/>
    </row>
    <row r="37" spans="1:4">
      <c r="A37" s="17" t="s">
        <v>1458</v>
      </c>
      <c r="B37" s="17" t="s">
        <v>1459</v>
      </c>
      <c r="C37" s="56">
        <v>47108.777518777526</v>
      </c>
      <c r="D37" s="72"/>
    </row>
    <row r="38" spans="1:4">
      <c r="A38" s="17" t="s">
        <v>1460</v>
      </c>
      <c r="B38" s="17" t="s">
        <v>1461</v>
      </c>
      <c r="C38" s="56">
        <v>32866.096804430141</v>
      </c>
      <c r="D38" s="72"/>
    </row>
    <row r="39" spans="1:4">
      <c r="A39" s="17" t="s">
        <v>1462</v>
      </c>
      <c r="B39" s="17" t="s">
        <v>1463</v>
      </c>
      <c r="C39" s="56">
        <v>187123.00575967244</v>
      </c>
      <c r="D39" s="72"/>
    </row>
    <row r="40" spans="1:4">
      <c r="A40" s="17" t="s">
        <v>1464</v>
      </c>
      <c r="B40" s="17" t="s">
        <v>1465</v>
      </c>
      <c r="C40" s="56">
        <v>72335.041131707781</v>
      </c>
      <c r="D40" s="72"/>
    </row>
    <row r="41" spans="1:4">
      <c r="A41" s="17" t="s">
        <v>1466</v>
      </c>
      <c r="B41" s="17" t="s">
        <v>1467</v>
      </c>
      <c r="C41" s="56">
        <v>150680.36654703322</v>
      </c>
      <c r="D41" s="72"/>
    </row>
    <row r="42" spans="1:4">
      <c r="A42" s="17" t="s">
        <v>1468</v>
      </c>
      <c r="B42" s="17" t="s">
        <v>1469</v>
      </c>
      <c r="C42" s="56">
        <v>21713.210123210119</v>
      </c>
      <c r="D42" s="72"/>
    </row>
    <row r="43" spans="1:4">
      <c r="A43" s="17" t="s">
        <v>1470</v>
      </c>
      <c r="B43" s="17" t="s">
        <v>1471</v>
      </c>
      <c r="C43" s="56">
        <v>28316.057646057649</v>
      </c>
      <c r="D43" s="72"/>
    </row>
    <row r="44" spans="1:4">
      <c r="A44" s="17" t="s">
        <v>1472</v>
      </c>
      <c r="B44" s="17" t="s">
        <v>1473</v>
      </c>
      <c r="C44" s="56">
        <v>31596.31843465177</v>
      </c>
      <c r="D44" s="72"/>
    </row>
    <row r="45" spans="1:4">
      <c r="A45" s="17" t="s">
        <v>1474</v>
      </c>
      <c r="B45" s="17" t="s">
        <v>1475</v>
      </c>
      <c r="C45" s="56">
        <v>38770.566223899557</v>
      </c>
      <c r="D45" s="72"/>
    </row>
    <row r="46" spans="1:4">
      <c r="A46" s="17" t="s">
        <v>1476</v>
      </c>
      <c r="B46" s="17" t="s">
        <v>1477</v>
      </c>
      <c r="C46" s="56">
        <v>19385.283111949779</v>
      </c>
      <c r="D46" s="72"/>
    </row>
    <row r="47" spans="1:4">
      <c r="A47" s="17" t="s">
        <v>1478</v>
      </c>
      <c r="B47" s="17" t="s">
        <v>1479</v>
      </c>
      <c r="C47" s="56">
        <v>19385.283111949779</v>
      </c>
      <c r="D47" s="72"/>
    </row>
    <row r="48" spans="1:4">
      <c r="A48" s="17" t="s">
        <v>1480</v>
      </c>
      <c r="B48" s="17" t="s">
        <v>1481</v>
      </c>
      <c r="C48" s="56">
        <v>57986.545553212221</v>
      </c>
      <c r="D48" s="72"/>
    </row>
    <row r="49" spans="1:4">
      <c r="A49" s="17" t="s">
        <v>1482</v>
      </c>
      <c r="B49" s="17" t="s">
        <v>1483</v>
      </c>
      <c r="C49" s="56">
        <v>35088.208951542285</v>
      </c>
      <c r="D49" s="72"/>
    </row>
    <row r="50" spans="1:4">
      <c r="A50" s="17" t="s">
        <v>1484</v>
      </c>
      <c r="B50" s="17" t="s">
        <v>1485</v>
      </c>
      <c r="C50" s="56">
        <v>35088.208951542285</v>
      </c>
      <c r="D50" s="72"/>
    </row>
    <row r="51" spans="1:4">
      <c r="A51" s="17" t="s">
        <v>1486</v>
      </c>
      <c r="B51" s="17" t="s">
        <v>1487</v>
      </c>
      <c r="C51" s="56">
        <v>35088.208951542285</v>
      </c>
      <c r="D51" s="72"/>
    </row>
    <row r="52" spans="1:4">
      <c r="A52" s="17" t="s">
        <v>1488</v>
      </c>
      <c r="B52" s="17" t="s">
        <v>1489</v>
      </c>
      <c r="C52" s="56">
        <v>35088.208951542285</v>
      </c>
      <c r="D52" s="72"/>
    </row>
    <row r="53" spans="1:4">
      <c r="A53" s="17" t="s">
        <v>1490</v>
      </c>
      <c r="B53" s="17" t="s">
        <v>1491</v>
      </c>
      <c r="C53" s="56">
        <v>12782.435589102257</v>
      </c>
      <c r="D53" s="72"/>
    </row>
    <row r="54" spans="1:4">
      <c r="A54" s="17" t="s">
        <v>1492</v>
      </c>
      <c r="B54" s="17" t="s">
        <v>1493</v>
      </c>
      <c r="C54" s="56">
        <v>13374.99882833216</v>
      </c>
      <c r="D54" s="72"/>
    </row>
    <row r="55" spans="1:4" ht="28.8">
      <c r="A55" s="17" t="s">
        <v>1494</v>
      </c>
      <c r="B55" s="17" t="s">
        <v>1495</v>
      </c>
      <c r="C55" s="56">
        <v>15279.666382999718</v>
      </c>
      <c r="D55" s="72"/>
    </row>
    <row r="56" spans="1:4" ht="28.8">
      <c r="A56" s="17" t="s">
        <v>1496</v>
      </c>
      <c r="B56" s="17" t="s">
        <v>1497</v>
      </c>
      <c r="C56" s="56">
        <v>14898.732872066201</v>
      </c>
      <c r="D56" s="72"/>
    </row>
    <row r="57" spans="1:4">
      <c r="A57" s="17" t="s">
        <v>1498</v>
      </c>
      <c r="B57" s="17" t="s">
        <v>1499</v>
      </c>
      <c r="C57" s="56">
        <v>14602.45125245125</v>
      </c>
      <c r="D57" s="72"/>
    </row>
    <row r="58" spans="1:4">
      <c r="A58" s="17" t="s">
        <v>1500</v>
      </c>
      <c r="B58" s="17" t="s">
        <v>1501</v>
      </c>
      <c r="C58" s="56">
        <v>20951.343101343104</v>
      </c>
      <c r="D58" s="72"/>
    </row>
    <row r="59" spans="1:4">
      <c r="A59" s="17" t="s">
        <v>1502</v>
      </c>
      <c r="B59" s="17" t="s">
        <v>1503</v>
      </c>
      <c r="C59" s="56">
        <v>10454.508577841911</v>
      </c>
      <c r="D59" s="72"/>
    </row>
    <row r="60" spans="1:4">
      <c r="A60" s="17" t="s">
        <v>1504</v>
      </c>
      <c r="B60" s="17" t="s">
        <v>1505</v>
      </c>
      <c r="C60" s="56">
        <v>131167.73966773966</v>
      </c>
      <c r="D60" s="72"/>
    </row>
    <row r="61" spans="1:4">
      <c r="A61" s="17"/>
      <c r="B61" s="17" t="s">
        <v>1978</v>
      </c>
      <c r="C61" s="56"/>
      <c r="D61" s="53"/>
    </row>
    <row r="62" spans="1:4">
      <c r="A62" s="17" t="s">
        <v>1979</v>
      </c>
      <c r="B62" s="17" t="s">
        <v>1980</v>
      </c>
      <c r="C62" s="56">
        <v>11554.983164983165</v>
      </c>
      <c r="D62" s="53"/>
    </row>
    <row r="63" spans="1:4">
      <c r="A63" s="17" t="s">
        <v>1981</v>
      </c>
      <c r="B63" s="17" t="s">
        <v>1982</v>
      </c>
      <c r="C63" s="56">
        <v>12285.105727605729</v>
      </c>
      <c r="D63" s="53"/>
    </row>
    <row r="64" spans="1:4">
      <c r="A64" s="17" t="s">
        <v>1983</v>
      </c>
      <c r="B64" s="17" t="s">
        <v>1984</v>
      </c>
      <c r="C64" s="56">
        <v>15237.340437340436</v>
      </c>
      <c r="D64" s="53"/>
    </row>
    <row r="65" spans="1:4">
      <c r="A65" s="17" t="s">
        <v>1985</v>
      </c>
      <c r="B65" s="17" t="s">
        <v>1986</v>
      </c>
      <c r="C65" s="56">
        <v>14105.121390954724</v>
      </c>
      <c r="D65" s="53"/>
    </row>
    <row r="66" spans="1:4">
      <c r="A66" s="17" t="s">
        <v>1987</v>
      </c>
      <c r="B66" s="17" t="s">
        <v>1988</v>
      </c>
      <c r="C66" s="56">
        <v>19321.794193460861</v>
      </c>
      <c r="D66" s="53"/>
    </row>
    <row r="67" spans="1:4">
      <c r="A67" s="17" t="s">
        <v>1989</v>
      </c>
      <c r="B67" s="17" t="s">
        <v>1990</v>
      </c>
      <c r="C67" s="56">
        <v>20930.180128513464</v>
      </c>
      <c r="D67" s="53"/>
    </row>
    <row r="68" spans="1:4">
      <c r="A68" s="17" t="s">
        <v>1991</v>
      </c>
      <c r="B68" s="17" t="s">
        <v>1992</v>
      </c>
      <c r="C68" s="56">
        <v>8507.5150775150778</v>
      </c>
      <c r="D68" s="53"/>
    </row>
    <row r="69" spans="1:4">
      <c r="A69" s="17" t="s">
        <v>1993</v>
      </c>
      <c r="B69" s="17" t="s">
        <v>1994</v>
      </c>
      <c r="C69" s="56">
        <v>11375.097895931227</v>
      </c>
      <c r="D69" s="53"/>
    </row>
    <row r="70" spans="1:4">
      <c r="A70" s="17" t="s">
        <v>1995</v>
      </c>
      <c r="B70" s="17" t="s">
        <v>1996</v>
      </c>
      <c r="C70" s="56">
        <v>12507.316942316944</v>
      </c>
      <c r="D70" s="53"/>
    </row>
    <row r="71" spans="1:4">
      <c r="A71" s="17" t="s">
        <v>1997</v>
      </c>
      <c r="B71" s="17" t="s">
        <v>1998</v>
      </c>
      <c r="C71" s="56">
        <v>22295.191876025208</v>
      </c>
      <c r="D71" s="53"/>
    </row>
    <row r="72" spans="1:4">
      <c r="A72" s="17" t="s">
        <v>1999</v>
      </c>
      <c r="B72" s="17" t="s">
        <v>2000</v>
      </c>
      <c r="C72" s="56">
        <v>14560.125306791973</v>
      </c>
      <c r="D72" s="5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0"/>
  <sheetViews>
    <sheetView topLeftCell="A94" workbookViewId="0">
      <selection activeCell="B100" sqref="B100"/>
    </sheetView>
  </sheetViews>
  <sheetFormatPr defaultRowHeight="14.4"/>
  <cols>
    <col min="1" max="1" width="13.5546875" customWidth="1"/>
    <col min="2" max="2" width="68.44140625" customWidth="1"/>
    <col min="3" max="3" width="13.5546875" customWidth="1"/>
    <col min="4" max="4" width="11.88671875" customWidth="1"/>
  </cols>
  <sheetData>
    <row r="1" spans="1:4">
      <c r="A1" s="115"/>
      <c r="B1" s="116" t="s">
        <v>2188</v>
      </c>
      <c r="C1" s="117"/>
      <c r="D1" s="118"/>
    </row>
    <row r="2" spans="1:4">
      <c r="A2" s="115"/>
      <c r="B2" s="116" t="s">
        <v>2189</v>
      </c>
      <c r="C2" s="118"/>
      <c r="D2" s="118"/>
    </row>
    <row r="3" spans="1:4" ht="26.4">
      <c r="A3" s="125" t="s">
        <v>2212</v>
      </c>
      <c r="B3" s="120" t="s">
        <v>2190</v>
      </c>
      <c r="C3" s="129">
        <v>75458.5</v>
      </c>
      <c r="D3" s="128">
        <f>C3/317</f>
        <v>238.03943217665616</v>
      </c>
    </row>
    <row r="4" spans="1:4" ht="26.4">
      <c r="A4" s="125" t="s">
        <v>2212</v>
      </c>
      <c r="B4" s="121" t="s">
        <v>2191</v>
      </c>
      <c r="C4" s="129">
        <v>87339.199999999997</v>
      </c>
      <c r="D4" s="128">
        <f t="shared" ref="D4:D67" si="0">C4/317</f>
        <v>275.51798107255519</v>
      </c>
    </row>
    <row r="5" spans="1:4" ht="26.4">
      <c r="A5" s="125" t="s">
        <v>2213</v>
      </c>
      <c r="B5" s="121" t="s">
        <v>2192</v>
      </c>
      <c r="C5" s="129">
        <v>92476.800000000003</v>
      </c>
      <c r="D5" s="128">
        <f t="shared" si="0"/>
        <v>291.7249211356467</v>
      </c>
    </row>
    <row r="6" spans="1:4" ht="26.4">
      <c r="A6" s="125" t="s">
        <v>2213</v>
      </c>
      <c r="B6" s="121" t="s">
        <v>2193</v>
      </c>
      <c r="C6" s="129">
        <v>105320.8</v>
      </c>
      <c r="D6" s="128">
        <f t="shared" si="0"/>
        <v>332.24227129337538</v>
      </c>
    </row>
    <row r="7" spans="1:4" ht="26.4">
      <c r="A7" s="125" t="s">
        <v>2214</v>
      </c>
      <c r="B7" s="122" t="s">
        <v>2194</v>
      </c>
      <c r="C7" s="129">
        <v>104357.49999999999</v>
      </c>
      <c r="D7" s="128">
        <f t="shared" si="0"/>
        <v>329.20347003154569</v>
      </c>
    </row>
    <row r="8" spans="1:4" ht="26.4">
      <c r="A8" s="125" t="s">
        <v>2214</v>
      </c>
      <c r="B8" s="121" t="s">
        <v>2195</v>
      </c>
      <c r="C8" s="129">
        <v>117201.5</v>
      </c>
      <c r="D8" s="128">
        <f t="shared" si="0"/>
        <v>369.72082018927443</v>
      </c>
    </row>
    <row r="9" spans="1:4" ht="26.4">
      <c r="A9" s="125" t="s">
        <v>2215</v>
      </c>
      <c r="B9" s="121" t="s">
        <v>2196</v>
      </c>
      <c r="C9" s="129">
        <v>113990.50000000001</v>
      </c>
      <c r="D9" s="128">
        <f t="shared" si="0"/>
        <v>359.59148264984231</v>
      </c>
    </row>
    <row r="10" spans="1:4" ht="26.4">
      <c r="A10" s="125" t="s">
        <v>2215</v>
      </c>
      <c r="B10" s="121" t="s">
        <v>2197</v>
      </c>
      <c r="C10" s="129">
        <v>125229</v>
      </c>
      <c r="D10" s="128">
        <f t="shared" si="0"/>
        <v>395.0441640378549</v>
      </c>
    </row>
    <row r="11" spans="1:4" ht="26.4">
      <c r="A11" s="125" t="s">
        <v>2216</v>
      </c>
      <c r="B11" s="121" t="s">
        <v>2198</v>
      </c>
      <c r="C11" s="129">
        <v>137430.80000000002</v>
      </c>
      <c r="D11" s="128">
        <f t="shared" si="0"/>
        <v>433.53564668769724</v>
      </c>
    </row>
    <row r="12" spans="1:4" ht="26.4">
      <c r="A12" s="125" t="s">
        <v>2216</v>
      </c>
      <c r="B12" s="121" t="s">
        <v>2199</v>
      </c>
      <c r="C12" s="129">
        <v>119770.3</v>
      </c>
      <c r="D12" s="128">
        <f t="shared" si="0"/>
        <v>377.82429022082022</v>
      </c>
    </row>
    <row r="13" spans="1:4" ht="26.4">
      <c r="A13" s="125" t="s">
        <v>2217</v>
      </c>
      <c r="B13" s="122" t="s">
        <v>2200</v>
      </c>
      <c r="C13" s="129">
        <v>92476.800000000003</v>
      </c>
      <c r="D13" s="128">
        <f t="shared" si="0"/>
        <v>291.7249211356467</v>
      </c>
    </row>
    <row r="14" spans="1:4" ht="26.4">
      <c r="A14" s="125" t="s">
        <v>2217</v>
      </c>
      <c r="B14" s="121" t="s">
        <v>2201</v>
      </c>
      <c r="C14" s="129">
        <v>113990.50000000001</v>
      </c>
      <c r="D14" s="128">
        <f t="shared" si="0"/>
        <v>359.59148264984231</v>
      </c>
    </row>
    <row r="15" spans="1:4" ht="26.4">
      <c r="A15" s="125" t="s">
        <v>2218</v>
      </c>
      <c r="B15" s="121" t="s">
        <v>2202</v>
      </c>
      <c r="C15" s="129">
        <v>121375.79999999999</v>
      </c>
      <c r="D15" s="128">
        <f t="shared" si="0"/>
        <v>382.88895899053625</v>
      </c>
    </row>
    <row r="16" spans="1:4" ht="26.4">
      <c r="A16" s="125" t="s">
        <v>2218</v>
      </c>
      <c r="B16" s="121" t="s">
        <v>2203</v>
      </c>
      <c r="C16" s="129">
        <v>107568.49999999999</v>
      </c>
      <c r="D16" s="128">
        <f t="shared" si="0"/>
        <v>339.33280757097788</v>
      </c>
    </row>
    <row r="17" spans="1:4" ht="26.4">
      <c r="A17" s="125" t="s">
        <v>2219</v>
      </c>
      <c r="B17" s="121" t="s">
        <v>2204</v>
      </c>
      <c r="C17" s="129">
        <v>101146.5</v>
      </c>
      <c r="D17" s="128">
        <f t="shared" si="0"/>
        <v>319.07413249211356</v>
      </c>
    </row>
    <row r="18" spans="1:4" ht="26.4">
      <c r="A18" s="125" t="s">
        <v>2219</v>
      </c>
      <c r="B18" s="121" t="s">
        <v>2205</v>
      </c>
      <c r="C18" s="129">
        <v>118807</v>
      </c>
      <c r="D18" s="128">
        <f t="shared" si="0"/>
        <v>374.78548895899053</v>
      </c>
    </row>
    <row r="19" spans="1:4" ht="26.4">
      <c r="A19" s="125" t="s">
        <v>2220</v>
      </c>
      <c r="B19" s="121" t="s">
        <v>2206</v>
      </c>
      <c r="C19" s="129">
        <v>115596</v>
      </c>
      <c r="D19" s="128">
        <f t="shared" si="0"/>
        <v>364.65615141955834</v>
      </c>
    </row>
    <row r="20" spans="1:4" ht="26.4">
      <c r="A20" s="125" t="s">
        <v>2220</v>
      </c>
      <c r="B20" s="121" t="s">
        <v>2207</v>
      </c>
      <c r="C20" s="129">
        <v>134862</v>
      </c>
      <c r="D20" s="128">
        <f t="shared" si="0"/>
        <v>425.4321766561514</v>
      </c>
    </row>
    <row r="21" spans="1:4" ht="26.4">
      <c r="A21" s="125" t="s">
        <v>2221</v>
      </c>
      <c r="B21" s="121" t="s">
        <v>2208</v>
      </c>
      <c r="C21" s="129">
        <v>159265.60000000001</v>
      </c>
      <c r="D21" s="128">
        <f t="shared" si="0"/>
        <v>502.41514195583596</v>
      </c>
    </row>
    <row r="22" spans="1:4" ht="26.4">
      <c r="A22" s="125" t="s">
        <v>2221</v>
      </c>
      <c r="B22" s="121" t="s">
        <v>2209</v>
      </c>
      <c r="C22" s="129">
        <v>137109.70000000001</v>
      </c>
      <c r="D22" s="128">
        <f t="shared" si="0"/>
        <v>432.52271293375401</v>
      </c>
    </row>
    <row r="23" spans="1:4" ht="26.4">
      <c r="A23" s="125" t="s">
        <v>2222</v>
      </c>
      <c r="B23" s="121" t="s">
        <v>2210</v>
      </c>
      <c r="C23" s="129">
        <v>170183</v>
      </c>
      <c r="D23" s="128">
        <f t="shared" si="0"/>
        <v>536.85488958990538</v>
      </c>
    </row>
    <row r="24" spans="1:4" ht="39.6">
      <c r="A24" s="125" t="s">
        <v>2222</v>
      </c>
      <c r="B24" s="123" t="s">
        <v>2211</v>
      </c>
      <c r="C24" s="129">
        <v>192660</v>
      </c>
      <c r="D24" s="128">
        <f t="shared" si="0"/>
        <v>607.76025236593057</v>
      </c>
    </row>
    <row r="25" spans="1:4">
      <c r="A25" s="115"/>
      <c r="B25" s="116" t="s">
        <v>2223</v>
      </c>
      <c r="C25" s="129">
        <v>0</v>
      </c>
      <c r="D25" s="128">
        <f t="shared" si="0"/>
        <v>0</v>
      </c>
    </row>
    <row r="26" spans="1:4" ht="28.8">
      <c r="A26" s="125" t="s">
        <v>2255</v>
      </c>
      <c r="B26" s="124" t="s">
        <v>2224</v>
      </c>
      <c r="C26" s="129">
        <v>136146.4</v>
      </c>
      <c r="D26" s="128">
        <f t="shared" si="0"/>
        <v>429.48391167192426</v>
      </c>
    </row>
    <row r="27" spans="1:4" ht="28.8">
      <c r="A27" s="125" t="s">
        <v>2256</v>
      </c>
      <c r="B27" s="113" t="s">
        <v>2225</v>
      </c>
      <c r="C27" s="129">
        <v>241467.2</v>
      </c>
      <c r="D27" s="128">
        <f t="shared" si="0"/>
        <v>761.7261829652997</v>
      </c>
    </row>
    <row r="28" spans="1:4" ht="28.8">
      <c r="A28" s="125" t="s">
        <v>2255</v>
      </c>
      <c r="B28" s="113" t="s">
        <v>2226</v>
      </c>
      <c r="C28" s="129">
        <v>122018</v>
      </c>
      <c r="D28" s="128">
        <f t="shared" si="0"/>
        <v>384.91482649842271</v>
      </c>
    </row>
    <row r="29" spans="1:4" ht="28.8">
      <c r="A29" s="125" t="s">
        <v>2256</v>
      </c>
      <c r="B29" s="114" t="s">
        <v>2227</v>
      </c>
      <c r="C29" s="129">
        <v>215136.99999999997</v>
      </c>
      <c r="D29" s="128">
        <f t="shared" si="0"/>
        <v>678.66561514195575</v>
      </c>
    </row>
    <row r="30" spans="1:4">
      <c r="A30" s="115"/>
      <c r="B30" s="116" t="s">
        <v>2228</v>
      </c>
      <c r="C30" s="129">
        <v>0</v>
      </c>
      <c r="D30" s="128">
        <f t="shared" si="0"/>
        <v>0</v>
      </c>
    </row>
    <row r="31" spans="1:4" ht="28.8">
      <c r="A31" s="125" t="s">
        <v>2252</v>
      </c>
      <c r="B31" s="124" t="s">
        <v>2229</v>
      </c>
      <c r="C31" s="129">
        <v>194265.50000000003</v>
      </c>
      <c r="D31" s="128">
        <f t="shared" si="0"/>
        <v>612.82492113564683</v>
      </c>
    </row>
    <row r="32" spans="1:4" ht="28.8">
      <c r="A32" s="126" t="s">
        <v>2252</v>
      </c>
      <c r="B32" s="113" t="s">
        <v>2230</v>
      </c>
      <c r="C32" s="129">
        <v>166972.00000000003</v>
      </c>
      <c r="D32" s="128">
        <f t="shared" si="0"/>
        <v>526.72555205047331</v>
      </c>
    </row>
    <row r="33" spans="1:4" ht="28.8">
      <c r="A33" s="125" t="s">
        <v>2253</v>
      </c>
      <c r="B33" s="113" t="s">
        <v>2231</v>
      </c>
      <c r="C33" s="129">
        <v>178852.7</v>
      </c>
      <c r="D33" s="128">
        <f t="shared" si="0"/>
        <v>564.20410094637225</v>
      </c>
    </row>
    <row r="34" spans="1:4" ht="28.8">
      <c r="A34" s="125" t="s">
        <v>2253</v>
      </c>
      <c r="B34" s="113" t="s">
        <v>2232</v>
      </c>
      <c r="C34" s="129">
        <v>156696.79999999999</v>
      </c>
      <c r="D34" s="128">
        <f t="shared" si="0"/>
        <v>494.31167192429018</v>
      </c>
    </row>
    <row r="35" spans="1:4" ht="28.8">
      <c r="A35" s="125" t="s">
        <v>2254</v>
      </c>
      <c r="B35" s="113" t="s">
        <v>2233</v>
      </c>
      <c r="C35" s="129">
        <v>205504</v>
      </c>
      <c r="D35" s="128">
        <f t="shared" si="0"/>
        <v>648.27760252365931</v>
      </c>
    </row>
    <row r="36" spans="1:4" ht="28.8">
      <c r="A36" s="125" t="s">
        <v>2254</v>
      </c>
      <c r="B36" s="114" t="s">
        <v>2234</v>
      </c>
      <c r="C36" s="129">
        <v>232155.3</v>
      </c>
      <c r="D36" s="128">
        <f t="shared" si="0"/>
        <v>732.35110410094637</v>
      </c>
    </row>
    <row r="37" spans="1:4">
      <c r="A37" s="115"/>
      <c r="B37" s="116" t="s">
        <v>2235</v>
      </c>
      <c r="C37" s="129">
        <v>0</v>
      </c>
      <c r="D37" s="128">
        <f t="shared" si="0"/>
        <v>0</v>
      </c>
    </row>
    <row r="38" spans="1:4" ht="28.8">
      <c r="A38" s="125" t="s">
        <v>2244</v>
      </c>
      <c r="B38" s="124" t="s">
        <v>2236</v>
      </c>
      <c r="C38" s="129">
        <v>28256.799999999999</v>
      </c>
      <c r="D38" s="128">
        <f t="shared" si="0"/>
        <v>89.138170347003154</v>
      </c>
    </row>
    <row r="39" spans="1:4" ht="28.8">
      <c r="A39" s="125" t="s">
        <v>2245</v>
      </c>
      <c r="B39" s="113" t="s">
        <v>2237</v>
      </c>
      <c r="C39" s="129">
        <v>33715.5</v>
      </c>
      <c r="D39" s="128">
        <f t="shared" si="0"/>
        <v>106.35804416403785</v>
      </c>
    </row>
    <row r="40" spans="1:4" ht="28.8">
      <c r="A40" s="125" t="s">
        <v>2246</v>
      </c>
      <c r="B40" s="113" t="s">
        <v>2238</v>
      </c>
      <c r="C40" s="129">
        <v>39816.400000000001</v>
      </c>
      <c r="D40" s="128">
        <f t="shared" si="0"/>
        <v>125.60378548895899</v>
      </c>
    </row>
    <row r="41" spans="1:4" ht="28.8">
      <c r="A41" s="125" t="s">
        <v>2247</v>
      </c>
      <c r="B41" s="113" t="s">
        <v>2239</v>
      </c>
      <c r="C41" s="129">
        <v>46559.5</v>
      </c>
      <c r="D41" s="128">
        <f t="shared" si="0"/>
        <v>146.87539432176655</v>
      </c>
    </row>
    <row r="42" spans="1:4" ht="28.8">
      <c r="A42" s="125" t="s">
        <v>2248</v>
      </c>
      <c r="B42" s="113" t="s">
        <v>2240</v>
      </c>
      <c r="C42" s="129">
        <v>51376</v>
      </c>
      <c r="D42" s="128">
        <f t="shared" si="0"/>
        <v>162.06940063091483</v>
      </c>
    </row>
    <row r="43" spans="1:4" ht="28.8">
      <c r="A43" s="125" t="s">
        <v>2249</v>
      </c>
      <c r="B43" s="113" t="s">
        <v>2241</v>
      </c>
      <c r="C43" s="129">
        <v>41743.000000000007</v>
      </c>
      <c r="D43" s="128">
        <f t="shared" si="0"/>
        <v>131.68138801261833</v>
      </c>
    </row>
    <row r="44" spans="1:4" ht="28.8">
      <c r="A44" s="125" t="s">
        <v>2250</v>
      </c>
      <c r="B44" s="113" t="s">
        <v>2242</v>
      </c>
      <c r="C44" s="129">
        <v>48165</v>
      </c>
      <c r="D44" s="128">
        <f t="shared" si="0"/>
        <v>151.94006309148264</v>
      </c>
    </row>
    <row r="45" spans="1:4" ht="28.8">
      <c r="A45" s="125" t="s">
        <v>2251</v>
      </c>
      <c r="B45" s="114" t="s">
        <v>2243</v>
      </c>
      <c r="C45" s="129">
        <v>56192.5</v>
      </c>
      <c r="D45" s="128">
        <f t="shared" si="0"/>
        <v>177.26340694006308</v>
      </c>
    </row>
    <row r="46" spans="1:4">
      <c r="A46" s="17"/>
      <c r="B46" s="33" t="s">
        <v>2257</v>
      </c>
      <c r="C46" s="129">
        <v>0</v>
      </c>
      <c r="D46" s="128">
        <f t="shared" si="0"/>
        <v>0</v>
      </c>
    </row>
    <row r="47" spans="1:4">
      <c r="A47" s="17"/>
      <c r="B47" s="33" t="s">
        <v>2258</v>
      </c>
      <c r="C47" s="129">
        <v>0</v>
      </c>
      <c r="D47" s="128">
        <f t="shared" si="0"/>
        <v>0</v>
      </c>
    </row>
    <row r="48" spans="1:4" ht="28.8">
      <c r="A48" s="25" t="s">
        <v>2343</v>
      </c>
      <c r="B48" s="124" t="s">
        <v>2259</v>
      </c>
      <c r="C48" s="129">
        <v>18302.7</v>
      </c>
      <c r="D48" s="128">
        <f t="shared" si="0"/>
        <v>57.73722397476341</v>
      </c>
    </row>
    <row r="49" spans="1:4" ht="28.8">
      <c r="A49" s="25" t="s">
        <v>2344</v>
      </c>
      <c r="B49" s="113" t="s">
        <v>2260</v>
      </c>
      <c r="C49" s="129">
        <v>18302.7</v>
      </c>
      <c r="D49" s="128">
        <f t="shared" si="0"/>
        <v>57.73722397476341</v>
      </c>
    </row>
    <row r="50" spans="1:4" ht="28.8">
      <c r="A50" s="25" t="s">
        <v>2345</v>
      </c>
      <c r="B50" s="113" t="s">
        <v>2261</v>
      </c>
      <c r="C50" s="129">
        <v>25688</v>
      </c>
      <c r="D50" s="128">
        <f t="shared" si="0"/>
        <v>81.034700315457414</v>
      </c>
    </row>
    <row r="51" spans="1:4" ht="28.8">
      <c r="A51" s="25" t="s">
        <v>2346</v>
      </c>
      <c r="B51" s="113" t="s">
        <v>2262</v>
      </c>
      <c r="C51" s="129">
        <v>25688</v>
      </c>
      <c r="D51" s="128">
        <f t="shared" si="0"/>
        <v>81.034700315457414</v>
      </c>
    </row>
    <row r="52" spans="1:4" ht="28.8">
      <c r="A52" s="25" t="s">
        <v>2347</v>
      </c>
      <c r="B52" s="113" t="s">
        <v>2263</v>
      </c>
      <c r="C52" s="129">
        <v>33715.5</v>
      </c>
      <c r="D52" s="128">
        <f t="shared" si="0"/>
        <v>106.35804416403785</v>
      </c>
    </row>
    <row r="53" spans="1:4" ht="28.8">
      <c r="A53" s="25" t="s">
        <v>2348</v>
      </c>
      <c r="B53" s="113" t="s">
        <v>2264</v>
      </c>
      <c r="C53" s="129">
        <v>33715.5</v>
      </c>
      <c r="D53" s="128">
        <f t="shared" si="0"/>
        <v>106.35804416403785</v>
      </c>
    </row>
    <row r="54" spans="1:4" ht="28.8">
      <c r="A54" s="25" t="s">
        <v>2349</v>
      </c>
      <c r="B54" s="113" t="s">
        <v>2265</v>
      </c>
      <c r="C54" s="129">
        <v>35321</v>
      </c>
      <c r="D54" s="128">
        <f t="shared" si="0"/>
        <v>111.42271293375394</v>
      </c>
    </row>
    <row r="55" spans="1:4" ht="28.8">
      <c r="A55" s="25" t="s">
        <v>2350</v>
      </c>
      <c r="B55" s="113" t="s">
        <v>2266</v>
      </c>
      <c r="C55" s="129">
        <v>35321</v>
      </c>
      <c r="D55" s="128">
        <f t="shared" si="0"/>
        <v>111.42271293375394</v>
      </c>
    </row>
    <row r="56" spans="1:4">
      <c r="A56" s="25" t="s">
        <v>2351</v>
      </c>
      <c r="B56" s="114" t="s">
        <v>2267</v>
      </c>
      <c r="C56" s="129">
        <v>25822.9</v>
      </c>
      <c r="D56" s="128">
        <f t="shared" si="0"/>
        <v>81.4602523659306</v>
      </c>
    </row>
    <row r="57" spans="1:4">
      <c r="A57" s="15"/>
      <c r="B57" s="33" t="s">
        <v>2268</v>
      </c>
      <c r="C57" s="129">
        <v>0</v>
      </c>
      <c r="D57" s="128">
        <f t="shared" si="0"/>
        <v>0</v>
      </c>
    </row>
    <row r="58" spans="1:4" ht="28.8">
      <c r="A58" s="25" t="s">
        <v>2337</v>
      </c>
      <c r="B58" s="124" t="s">
        <v>2269</v>
      </c>
      <c r="C58" s="129">
        <v>11238.5</v>
      </c>
      <c r="D58" s="128">
        <f t="shared" si="0"/>
        <v>35.452681388012621</v>
      </c>
    </row>
    <row r="59" spans="1:4" ht="28.8">
      <c r="A59" s="25" t="s">
        <v>2338</v>
      </c>
      <c r="B59" s="113" t="s">
        <v>2270</v>
      </c>
      <c r="C59" s="129">
        <v>14449.5</v>
      </c>
      <c r="D59" s="128">
        <f t="shared" si="0"/>
        <v>45.582018927444793</v>
      </c>
    </row>
    <row r="60" spans="1:4" ht="28.8">
      <c r="A60" s="127">
        <v>322002615</v>
      </c>
      <c r="B60" s="113" t="s">
        <v>2271</v>
      </c>
      <c r="C60" s="129">
        <v>16755.150000000001</v>
      </c>
      <c r="D60" s="128">
        <f t="shared" si="0"/>
        <v>52.855362776025238</v>
      </c>
    </row>
    <row r="61" spans="1:4" ht="28.8">
      <c r="A61" s="25" t="s">
        <v>2339</v>
      </c>
      <c r="B61" s="113" t="s">
        <v>2272</v>
      </c>
      <c r="C61" s="129">
        <v>16055</v>
      </c>
      <c r="D61" s="128">
        <f t="shared" si="0"/>
        <v>50.646687697160885</v>
      </c>
    </row>
    <row r="62" spans="1:4" ht="28.8">
      <c r="A62" s="25" t="s">
        <v>2340</v>
      </c>
      <c r="B62" s="113" t="s">
        <v>2273</v>
      </c>
      <c r="C62" s="129">
        <v>19266</v>
      </c>
      <c r="D62" s="128">
        <f t="shared" si="0"/>
        <v>60.776025236593057</v>
      </c>
    </row>
    <row r="63" spans="1:4" ht="28.8">
      <c r="A63" s="25" t="s">
        <v>2341</v>
      </c>
      <c r="B63" s="113" t="s">
        <v>2274</v>
      </c>
      <c r="C63" s="129">
        <v>22477</v>
      </c>
      <c r="D63" s="128">
        <f t="shared" si="0"/>
        <v>70.905362776025243</v>
      </c>
    </row>
    <row r="64" spans="1:4">
      <c r="A64" s="25" t="s">
        <v>2342</v>
      </c>
      <c r="B64" s="114" t="s">
        <v>2275</v>
      </c>
      <c r="C64" s="129">
        <v>1252.0999999999999</v>
      </c>
      <c r="D64" s="128">
        <f t="shared" si="0"/>
        <v>3.9498422712933752</v>
      </c>
    </row>
    <row r="65" spans="1:4">
      <c r="A65" s="15"/>
      <c r="B65" s="33" t="s">
        <v>2276</v>
      </c>
      <c r="C65" s="129">
        <v>0</v>
      </c>
      <c r="D65" s="128">
        <f t="shared" si="0"/>
        <v>0</v>
      </c>
    </row>
    <row r="66" spans="1:4" ht="28.8">
      <c r="A66" s="25" t="s">
        <v>2331</v>
      </c>
      <c r="B66" s="124" t="s">
        <v>2277</v>
      </c>
      <c r="C66" s="129">
        <v>9633</v>
      </c>
      <c r="D66" s="128">
        <f t="shared" si="0"/>
        <v>30.388012618296528</v>
      </c>
    </row>
    <row r="67" spans="1:4" ht="28.8">
      <c r="A67" s="25" t="s">
        <v>2332</v>
      </c>
      <c r="B67" s="113" t="s">
        <v>2278</v>
      </c>
      <c r="C67" s="129">
        <v>16055</v>
      </c>
      <c r="D67" s="128">
        <f t="shared" si="0"/>
        <v>50.646687697160885</v>
      </c>
    </row>
    <row r="68" spans="1:4" ht="28.8">
      <c r="A68" s="25" t="s">
        <v>2333</v>
      </c>
      <c r="B68" s="113" t="s">
        <v>2279</v>
      </c>
      <c r="C68" s="129">
        <v>16055</v>
      </c>
      <c r="D68" s="128">
        <f t="shared" ref="D68:D100" si="1">C68/317</f>
        <v>50.646687697160885</v>
      </c>
    </row>
    <row r="69" spans="1:4" ht="28.8">
      <c r="A69" s="25" t="s">
        <v>2334</v>
      </c>
      <c r="B69" s="113" t="s">
        <v>2280</v>
      </c>
      <c r="C69" s="129">
        <v>9633</v>
      </c>
      <c r="D69" s="128">
        <f t="shared" si="1"/>
        <v>30.388012618296528</v>
      </c>
    </row>
    <row r="70" spans="1:4" ht="28.8">
      <c r="A70" s="25" t="s">
        <v>2335</v>
      </c>
      <c r="B70" s="113" t="s">
        <v>2281</v>
      </c>
      <c r="C70" s="129">
        <v>16055</v>
      </c>
      <c r="D70" s="128">
        <f t="shared" si="1"/>
        <v>50.646687697160885</v>
      </c>
    </row>
    <row r="71" spans="1:4" ht="28.8">
      <c r="A71" s="25" t="s">
        <v>2336</v>
      </c>
      <c r="B71" s="114" t="s">
        <v>2282</v>
      </c>
      <c r="C71" s="129">
        <v>16055</v>
      </c>
      <c r="D71" s="128">
        <f t="shared" si="1"/>
        <v>50.646687697160885</v>
      </c>
    </row>
    <row r="72" spans="1:4">
      <c r="A72" s="15"/>
      <c r="B72" s="33" t="s">
        <v>2283</v>
      </c>
      <c r="C72" s="129">
        <v>0</v>
      </c>
      <c r="D72" s="128">
        <f t="shared" si="1"/>
        <v>0</v>
      </c>
    </row>
    <row r="73" spans="1:4">
      <c r="A73" s="25" t="s">
        <v>2329</v>
      </c>
      <c r="B73" s="124" t="s">
        <v>2284</v>
      </c>
      <c r="C73" s="129">
        <v>16055</v>
      </c>
      <c r="D73" s="128">
        <f t="shared" si="1"/>
        <v>50.646687697160885</v>
      </c>
    </row>
    <row r="74" spans="1:4">
      <c r="A74" s="25" t="s">
        <v>2330</v>
      </c>
      <c r="B74" s="114" t="s">
        <v>2285</v>
      </c>
      <c r="C74" s="129">
        <v>16055</v>
      </c>
      <c r="D74" s="128">
        <f t="shared" si="1"/>
        <v>50.646687697160885</v>
      </c>
    </row>
    <row r="75" spans="1:4">
      <c r="A75" s="15"/>
      <c r="B75" s="33" t="s">
        <v>2286</v>
      </c>
      <c r="C75" s="129">
        <v>0</v>
      </c>
      <c r="D75" s="128">
        <f t="shared" si="1"/>
        <v>0</v>
      </c>
    </row>
    <row r="76" spans="1:4">
      <c r="A76" s="25" t="s">
        <v>2326</v>
      </c>
      <c r="B76" s="124" t="s">
        <v>2287</v>
      </c>
      <c r="C76" s="129">
        <v>558.6</v>
      </c>
      <c r="D76" s="128">
        <f t="shared" si="1"/>
        <v>1.7621451104100947</v>
      </c>
    </row>
    <row r="77" spans="1:4" ht="28.8">
      <c r="A77" s="25" t="s">
        <v>2327</v>
      </c>
      <c r="B77" s="113" t="s">
        <v>2288</v>
      </c>
      <c r="C77" s="129">
        <v>1444.95</v>
      </c>
      <c r="D77" s="128">
        <f t="shared" si="1"/>
        <v>4.5582018927444796</v>
      </c>
    </row>
    <row r="78" spans="1:4" ht="28.8">
      <c r="A78" s="25" t="s">
        <v>2327</v>
      </c>
      <c r="B78" s="113" t="s">
        <v>2289</v>
      </c>
      <c r="C78" s="129">
        <v>3532.1</v>
      </c>
      <c r="D78" s="128">
        <f t="shared" si="1"/>
        <v>11.142271293375394</v>
      </c>
    </row>
    <row r="79" spans="1:4" ht="28.8">
      <c r="A79" s="25" t="s">
        <v>2328</v>
      </c>
      <c r="B79" s="113" t="s">
        <v>2290</v>
      </c>
      <c r="C79" s="129">
        <v>2112.7999999999997</v>
      </c>
      <c r="D79" s="128">
        <f t="shared" si="1"/>
        <v>6.6649842271293362</v>
      </c>
    </row>
    <row r="80" spans="1:4" ht="28.8">
      <c r="A80" s="127">
        <v>321600032</v>
      </c>
      <c r="B80" s="113" t="s">
        <v>2291</v>
      </c>
      <c r="C80" s="129">
        <v>2312.3000000000002</v>
      </c>
      <c r="D80" s="128">
        <f t="shared" si="1"/>
        <v>7.2943217665615148</v>
      </c>
    </row>
    <row r="81" spans="1:4" ht="28.8">
      <c r="A81" s="127">
        <v>321600033</v>
      </c>
      <c r="B81" s="114" t="s">
        <v>2292</v>
      </c>
      <c r="C81" s="129">
        <v>2896.5499999999997</v>
      </c>
      <c r="D81" s="128">
        <f t="shared" si="1"/>
        <v>9.1373817034700302</v>
      </c>
    </row>
    <row r="82" spans="1:4">
      <c r="A82" s="15"/>
      <c r="B82" s="33" t="s">
        <v>2293</v>
      </c>
      <c r="C82" s="129">
        <v>0</v>
      </c>
      <c r="D82" s="128">
        <f t="shared" si="1"/>
        <v>0</v>
      </c>
    </row>
    <row r="83" spans="1:4">
      <c r="A83" s="25" t="s">
        <v>2325</v>
      </c>
      <c r="B83" s="112" t="s">
        <v>2294</v>
      </c>
      <c r="C83" s="129">
        <v>4816.5</v>
      </c>
      <c r="D83" s="128">
        <f t="shared" si="1"/>
        <v>15.194006309148264</v>
      </c>
    </row>
    <row r="84" spans="1:4">
      <c r="A84" s="15"/>
      <c r="B84" s="33" t="s">
        <v>2295</v>
      </c>
      <c r="C84" s="129">
        <v>0</v>
      </c>
      <c r="D84" s="128">
        <f t="shared" si="1"/>
        <v>0</v>
      </c>
    </row>
    <row r="85" spans="1:4" ht="28.8">
      <c r="A85" s="25" t="s">
        <v>2320</v>
      </c>
      <c r="B85" s="124" t="s">
        <v>2296</v>
      </c>
      <c r="C85" s="129">
        <v>2401.6</v>
      </c>
      <c r="D85" s="128">
        <f t="shared" si="1"/>
        <v>7.5760252365930594</v>
      </c>
    </row>
    <row r="86" spans="1:4" ht="28.8">
      <c r="A86" s="25" t="s">
        <v>2061</v>
      </c>
      <c r="B86" s="113" t="s">
        <v>2297</v>
      </c>
      <c r="C86" s="129">
        <v>2401.6</v>
      </c>
      <c r="D86" s="128">
        <f t="shared" si="1"/>
        <v>7.5760252365930594</v>
      </c>
    </row>
    <row r="87" spans="1:4" ht="28.8">
      <c r="A87" s="25" t="s">
        <v>2321</v>
      </c>
      <c r="B87" s="113" t="s">
        <v>2298</v>
      </c>
      <c r="C87" s="129">
        <v>3464.65</v>
      </c>
      <c r="D87" s="128">
        <f t="shared" si="1"/>
        <v>10.929495268138801</v>
      </c>
    </row>
    <row r="88" spans="1:4" ht="28.8">
      <c r="A88" s="25" t="s">
        <v>2322</v>
      </c>
      <c r="B88" s="113" t="s">
        <v>2299</v>
      </c>
      <c r="C88" s="129">
        <v>3464.65</v>
      </c>
      <c r="D88" s="128">
        <f t="shared" si="1"/>
        <v>10.929495268138801</v>
      </c>
    </row>
    <row r="89" spans="1:4">
      <c r="A89" s="25" t="s">
        <v>2323</v>
      </c>
      <c r="B89" s="113" t="s">
        <v>2300</v>
      </c>
      <c r="C89" s="129">
        <v>218.5</v>
      </c>
      <c r="D89" s="128">
        <f t="shared" si="1"/>
        <v>0.68927444794952686</v>
      </c>
    </row>
    <row r="90" spans="1:4">
      <c r="A90" s="25" t="s">
        <v>2324</v>
      </c>
      <c r="B90" s="114" t="s">
        <v>2301</v>
      </c>
      <c r="C90" s="129">
        <v>218.5</v>
      </c>
      <c r="D90" s="128">
        <f t="shared" si="1"/>
        <v>0.68927444794952686</v>
      </c>
    </row>
    <row r="91" spans="1:4">
      <c r="A91" s="15"/>
      <c r="B91" s="33" t="s">
        <v>2302</v>
      </c>
      <c r="C91" s="129">
        <v>0</v>
      </c>
      <c r="D91" s="128">
        <f t="shared" si="1"/>
        <v>0</v>
      </c>
    </row>
    <row r="92" spans="1:4" ht="28.8">
      <c r="A92" s="25" t="s">
        <v>2314</v>
      </c>
      <c r="B92" s="124" t="s">
        <v>2303</v>
      </c>
      <c r="C92" s="129">
        <v>5137.6000000000004</v>
      </c>
      <c r="D92" s="128">
        <f t="shared" si="1"/>
        <v>16.206940063091483</v>
      </c>
    </row>
    <row r="93" spans="1:4" ht="28.8">
      <c r="A93" s="25" t="s">
        <v>2315</v>
      </c>
      <c r="B93" s="113" t="s">
        <v>2304</v>
      </c>
      <c r="C93" s="129">
        <v>5137.6000000000004</v>
      </c>
      <c r="D93" s="128">
        <f t="shared" si="1"/>
        <v>16.206940063091483</v>
      </c>
    </row>
    <row r="94" spans="1:4" ht="28.8">
      <c r="A94" s="25" t="s">
        <v>2316</v>
      </c>
      <c r="B94" s="113" t="s">
        <v>2305</v>
      </c>
      <c r="C94" s="129">
        <v>7706.4000000000005</v>
      </c>
      <c r="D94" s="128">
        <f t="shared" si="1"/>
        <v>24.310410094637227</v>
      </c>
    </row>
    <row r="95" spans="1:4" ht="28.8">
      <c r="A95" s="25" t="s">
        <v>2317</v>
      </c>
      <c r="B95" s="113" t="s">
        <v>2306</v>
      </c>
      <c r="C95" s="129">
        <v>7706.4000000000005</v>
      </c>
      <c r="D95" s="128">
        <f t="shared" si="1"/>
        <v>24.310410094637227</v>
      </c>
    </row>
    <row r="96" spans="1:4" ht="28.8">
      <c r="A96" s="25" t="s">
        <v>2318</v>
      </c>
      <c r="B96" s="113" t="s">
        <v>2307</v>
      </c>
      <c r="C96" s="129">
        <v>10275.200000000001</v>
      </c>
      <c r="D96" s="128">
        <f t="shared" si="1"/>
        <v>32.413880126182967</v>
      </c>
    </row>
    <row r="97" spans="1:4" ht="28.8">
      <c r="A97" s="25" t="s">
        <v>2319</v>
      </c>
      <c r="B97" s="114" t="s">
        <v>2308</v>
      </c>
      <c r="C97" s="129">
        <v>9633</v>
      </c>
      <c r="D97" s="128">
        <f t="shared" si="1"/>
        <v>30.388012618296528</v>
      </c>
    </row>
    <row r="98" spans="1:4">
      <c r="A98" s="15"/>
      <c r="B98" s="33" t="s">
        <v>2309</v>
      </c>
      <c r="C98" s="129">
        <v>0</v>
      </c>
      <c r="D98" s="128">
        <f t="shared" si="1"/>
        <v>0</v>
      </c>
    </row>
    <row r="99" spans="1:4" ht="28.8">
      <c r="A99" s="25" t="s">
        <v>2312</v>
      </c>
      <c r="B99" s="112" t="s">
        <v>2310</v>
      </c>
      <c r="C99" s="129">
        <v>6422</v>
      </c>
      <c r="D99" s="128">
        <f t="shared" si="1"/>
        <v>20.258675078864353</v>
      </c>
    </row>
    <row r="100" spans="1:4" ht="28.8">
      <c r="A100" s="25" t="s">
        <v>2313</v>
      </c>
      <c r="B100" s="17" t="s">
        <v>2311</v>
      </c>
      <c r="C100" s="130">
        <v>6422</v>
      </c>
      <c r="D100" s="128">
        <f t="shared" si="1"/>
        <v>20.258675078864353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9"/>
  <sheetViews>
    <sheetView workbookViewId="0">
      <selection activeCell="F22" sqref="F22"/>
    </sheetView>
  </sheetViews>
  <sheetFormatPr defaultRowHeight="14.4"/>
  <cols>
    <col min="1" max="1" width="14.5546875" customWidth="1"/>
    <col min="2" max="2" width="71.6640625" customWidth="1"/>
    <col min="3" max="3" width="12.6640625" customWidth="1"/>
    <col min="4" max="4" width="12.33203125" customWidth="1"/>
  </cols>
  <sheetData>
    <row r="1" spans="1:4">
      <c r="A1" s="47"/>
      <c r="B1" s="47" t="s">
        <v>852</v>
      </c>
      <c r="C1" s="61"/>
      <c r="D1" s="53"/>
    </row>
    <row r="2" spans="1:4" ht="28.8">
      <c r="A2" s="44" t="s">
        <v>853</v>
      </c>
      <c r="B2" s="45" t="s">
        <v>854</v>
      </c>
      <c r="C2" s="164">
        <f t="shared" ref="C2:C15" si="0">D2*317.5</f>
        <v>13652.5</v>
      </c>
      <c r="D2" s="160">
        <v>43</v>
      </c>
    </row>
    <row r="3" spans="1:4" ht="28.8">
      <c r="A3" s="44" t="s">
        <v>855</v>
      </c>
      <c r="B3" s="45" t="s">
        <v>856</v>
      </c>
      <c r="C3" s="164">
        <f t="shared" si="0"/>
        <v>17462.5</v>
      </c>
      <c r="D3" s="160">
        <v>55</v>
      </c>
    </row>
    <row r="4" spans="1:4">
      <c r="A4" s="158" t="s">
        <v>2641</v>
      </c>
      <c r="B4" s="159" t="s">
        <v>2642</v>
      </c>
      <c r="C4" s="164">
        <f t="shared" si="0"/>
        <v>18097.5</v>
      </c>
      <c r="D4" s="160">
        <v>57</v>
      </c>
    </row>
    <row r="5" spans="1:4">
      <c r="A5" s="158" t="s">
        <v>2643</v>
      </c>
      <c r="B5" s="159" t="s">
        <v>2644</v>
      </c>
      <c r="C5" s="164">
        <f t="shared" si="0"/>
        <v>20637.5</v>
      </c>
      <c r="D5" s="160">
        <v>65</v>
      </c>
    </row>
    <row r="6" spans="1:4" ht="28.8">
      <c r="A6" s="44" t="s">
        <v>857</v>
      </c>
      <c r="B6" s="45" t="s">
        <v>858</v>
      </c>
      <c r="C6" s="164">
        <f t="shared" si="0"/>
        <v>40322.5</v>
      </c>
      <c r="D6" s="160">
        <v>127</v>
      </c>
    </row>
    <row r="7" spans="1:4">
      <c r="A7" s="44" t="s">
        <v>859</v>
      </c>
      <c r="B7" s="45" t="s">
        <v>860</v>
      </c>
      <c r="C7" s="164">
        <f t="shared" si="0"/>
        <v>23812.5</v>
      </c>
      <c r="D7" s="160">
        <v>75</v>
      </c>
    </row>
    <row r="8" spans="1:4">
      <c r="A8" s="158" t="s">
        <v>2645</v>
      </c>
      <c r="B8" s="159" t="s">
        <v>2646</v>
      </c>
      <c r="C8" s="164">
        <f t="shared" si="0"/>
        <v>45720</v>
      </c>
      <c r="D8" s="160">
        <v>144</v>
      </c>
    </row>
    <row r="9" spans="1:4" ht="28.8">
      <c r="A9" s="44" t="s">
        <v>861</v>
      </c>
      <c r="B9" s="45" t="s">
        <v>862</v>
      </c>
      <c r="C9" s="164">
        <f t="shared" si="0"/>
        <v>84772.5</v>
      </c>
      <c r="D9" s="160">
        <v>267</v>
      </c>
    </row>
    <row r="10" spans="1:4">
      <c r="A10" s="44" t="s">
        <v>863</v>
      </c>
      <c r="B10" s="45" t="s">
        <v>864</v>
      </c>
      <c r="C10" s="164">
        <f t="shared" si="0"/>
        <v>90487.5</v>
      </c>
      <c r="D10" s="160">
        <v>285</v>
      </c>
    </row>
    <row r="11" spans="1:4">
      <c r="A11" s="44" t="s">
        <v>865</v>
      </c>
      <c r="B11" s="45" t="s">
        <v>866</v>
      </c>
      <c r="C11" s="164">
        <f t="shared" si="0"/>
        <v>128905</v>
      </c>
      <c r="D11" s="160">
        <v>406</v>
      </c>
    </row>
    <row r="12" spans="1:4" ht="28.8">
      <c r="A12" s="44" t="s">
        <v>867</v>
      </c>
      <c r="B12" s="45" t="s">
        <v>868</v>
      </c>
      <c r="C12" s="164">
        <f t="shared" si="0"/>
        <v>173037.5</v>
      </c>
      <c r="D12" s="160">
        <v>545</v>
      </c>
    </row>
    <row r="13" spans="1:4" ht="28.8">
      <c r="A13" s="44" t="s">
        <v>869</v>
      </c>
      <c r="B13" s="45" t="s">
        <v>870</v>
      </c>
      <c r="C13" s="164">
        <f t="shared" si="0"/>
        <v>223202.5</v>
      </c>
      <c r="D13" s="160">
        <v>703</v>
      </c>
    </row>
    <row r="14" spans="1:4" ht="28.8">
      <c r="A14" s="44" t="s">
        <v>871</v>
      </c>
      <c r="B14" s="45" t="s">
        <v>872</v>
      </c>
      <c r="C14" s="164">
        <f t="shared" si="0"/>
        <v>282892.5</v>
      </c>
      <c r="D14" s="160">
        <v>891</v>
      </c>
    </row>
    <row r="15" spans="1:4" ht="28.8">
      <c r="A15" s="44" t="s">
        <v>873</v>
      </c>
      <c r="B15" s="45" t="s">
        <v>874</v>
      </c>
      <c r="C15" s="164">
        <f t="shared" si="0"/>
        <v>386715</v>
      </c>
      <c r="D15" s="160">
        <v>1218</v>
      </c>
    </row>
    <row r="16" spans="1:4">
      <c r="A16" s="73"/>
      <c r="B16" s="76" t="s">
        <v>1677</v>
      </c>
      <c r="C16" s="74"/>
      <c r="D16" s="75"/>
    </row>
    <row r="17" spans="1:4">
      <c r="A17" s="17" t="s">
        <v>1586</v>
      </c>
      <c r="B17" s="17" t="s">
        <v>1587</v>
      </c>
      <c r="C17" s="56">
        <v>525307.3115773116</v>
      </c>
      <c r="D17" s="72"/>
    </row>
    <row r="18" spans="1:4" ht="43.2">
      <c r="A18" s="17" t="s">
        <v>1588</v>
      </c>
      <c r="B18" s="17" t="s">
        <v>1589</v>
      </c>
      <c r="C18" s="56">
        <v>585833.41387008072</v>
      </c>
      <c r="D18" s="72"/>
    </row>
    <row r="19" spans="1:4" ht="43.2">
      <c r="A19" s="17" t="s">
        <v>1590</v>
      </c>
      <c r="B19" s="17" t="s">
        <v>1591</v>
      </c>
      <c r="C19" s="56">
        <v>106322.77549610884</v>
      </c>
      <c r="D19" s="72"/>
    </row>
    <row r="20" spans="1:4">
      <c r="A20" s="17" t="s">
        <v>1592</v>
      </c>
      <c r="B20" s="17" t="s">
        <v>1593</v>
      </c>
      <c r="C20" s="56">
        <v>452972.27044560376</v>
      </c>
      <c r="D20" s="72"/>
    </row>
    <row r="21" spans="1:4">
      <c r="A21" s="17" t="s">
        <v>1594</v>
      </c>
      <c r="B21" s="17" t="s">
        <v>1595</v>
      </c>
      <c r="C21" s="56">
        <v>652115.84477251151</v>
      </c>
      <c r="D21" s="72"/>
    </row>
    <row r="22" spans="1:4">
      <c r="A22" s="17" t="s">
        <v>1596</v>
      </c>
      <c r="B22" s="17" t="s">
        <v>1597</v>
      </c>
      <c r="C22" s="56">
        <v>448655.02398835728</v>
      </c>
      <c r="D22" s="72"/>
    </row>
    <row r="23" spans="1:4">
      <c r="A23" s="17" t="s">
        <v>1598</v>
      </c>
      <c r="B23" s="17" t="s">
        <v>1599</v>
      </c>
      <c r="C23" s="56">
        <v>334360.33349366678</v>
      </c>
      <c r="D23" s="72"/>
    </row>
    <row r="24" spans="1:4">
      <c r="A24" s="17" t="s">
        <v>1600</v>
      </c>
      <c r="B24" s="17" t="s">
        <v>1601</v>
      </c>
      <c r="C24" s="56">
        <v>77371.828665162015</v>
      </c>
      <c r="D24" s="72"/>
    </row>
    <row r="25" spans="1:4" ht="28.8">
      <c r="A25" s="17" t="s">
        <v>1602</v>
      </c>
      <c r="B25" s="17" t="s">
        <v>1603</v>
      </c>
      <c r="C25" s="56">
        <v>154151.09409109413</v>
      </c>
      <c r="D25" s="72"/>
    </row>
    <row r="26" spans="1:4">
      <c r="A26" s="17" t="s">
        <v>1604</v>
      </c>
      <c r="B26" s="17" t="s">
        <v>1605</v>
      </c>
      <c r="C26" s="56">
        <v>18792.719872719874</v>
      </c>
      <c r="D26" s="72"/>
    </row>
    <row r="27" spans="1:4">
      <c r="A27" s="17" t="s">
        <v>1606</v>
      </c>
      <c r="B27" s="17" t="s">
        <v>1607</v>
      </c>
      <c r="C27" s="56">
        <v>81435.11944845278</v>
      </c>
      <c r="D27" s="72"/>
    </row>
    <row r="28" spans="1:4">
      <c r="A28" s="17" t="s">
        <v>1608</v>
      </c>
      <c r="B28" s="17" t="s">
        <v>1609</v>
      </c>
      <c r="C28" s="56">
        <v>163081.86862520195</v>
      </c>
      <c r="D28" s="72"/>
    </row>
    <row r="29" spans="1:4">
      <c r="A29" s="17" t="s">
        <v>1610</v>
      </c>
      <c r="B29" s="17" t="s">
        <v>1611</v>
      </c>
      <c r="C29" s="56">
        <v>25141.611721611727</v>
      </c>
      <c r="D29" s="7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"/>
  <sheetViews>
    <sheetView workbookViewId="0">
      <selection activeCell="I22" sqref="I22"/>
    </sheetView>
  </sheetViews>
  <sheetFormatPr defaultRowHeight="14.4"/>
  <cols>
    <col min="1" max="1" width="14.33203125" customWidth="1"/>
    <col min="2" max="2" width="69.44140625" customWidth="1"/>
  </cols>
  <sheetData>
    <row r="1" spans="1:4">
      <c r="A1" s="17"/>
      <c r="B1" s="33" t="s">
        <v>270</v>
      </c>
      <c r="C1" s="61"/>
      <c r="D1" s="53"/>
    </row>
    <row r="2" spans="1:4">
      <c r="A2" s="17" t="s">
        <v>330</v>
      </c>
      <c r="B2" s="17" t="s">
        <v>271</v>
      </c>
      <c r="C2" s="61">
        <v>73500</v>
      </c>
      <c r="D2" s="53"/>
    </row>
    <row r="3" spans="1:4">
      <c r="A3" s="17" t="s">
        <v>331</v>
      </c>
      <c r="B3" s="17" t="s">
        <v>272</v>
      </c>
      <c r="C3" s="61">
        <v>140700</v>
      </c>
      <c r="D3" s="53"/>
    </row>
    <row r="4" spans="1:4">
      <c r="A4" s="17" t="s">
        <v>332</v>
      </c>
      <c r="B4" s="17" t="s">
        <v>273</v>
      </c>
      <c r="C4" s="61">
        <v>217000</v>
      </c>
      <c r="D4" s="53"/>
    </row>
    <row r="5" spans="1:4">
      <c r="A5" s="17" t="s">
        <v>333</v>
      </c>
      <c r="B5" s="17" t="s">
        <v>274</v>
      </c>
      <c r="C5" s="61">
        <v>353500</v>
      </c>
      <c r="D5" s="53"/>
    </row>
    <row r="6" spans="1:4">
      <c r="A6" s="17" t="s">
        <v>334</v>
      </c>
      <c r="B6" s="17" t="s">
        <v>275</v>
      </c>
      <c r="C6" s="61">
        <v>353500</v>
      </c>
      <c r="D6" s="53"/>
    </row>
    <row r="7" spans="1:4">
      <c r="A7" s="17" t="s">
        <v>335</v>
      </c>
      <c r="B7" s="17" t="s">
        <v>276</v>
      </c>
      <c r="C7" s="61">
        <v>280000</v>
      </c>
      <c r="D7" s="53"/>
    </row>
    <row r="8" spans="1:4">
      <c r="A8" s="17" t="s">
        <v>336</v>
      </c>
      <c r="B8" s="17" t="s">
        <v>277</v>
      </c>
      <c r="C8" s="61">
        <v>294000</v>
      </c>
      <c r="D8" s="5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33"/>
  <sheetViews>
    <sheetView topLeftCell="A139" workbookViewId="0">
      <selection activeCell="G23" sqref="G23"/>
    </sheetView>
  </sheetViews>
  <sheetFormatPr defaultRowHeight="14.4"/>
  <cols>
    <col min="1" max="1" width="16.21875" customWidth="1"/>
    <col min="2" max="2" width="80.21875" customWidth="1"/>
  </cols>
  <sheetData>
    <row r="1" spans="1:3">
      <c r="A1" s="17" t="s">
        <v>2033</v>
      </c>
      <c r="B1" s="17" t="s">
        <v>2034</v>
      </c>
      <c r="C1" s="56">
        <v>5999.94</v>
      </c>
    </row>
    <row r="2" spans="1:3">
      <c r="A2" s="17" t="s">
        <v>2033</v>
      </c>
      <c r="B2" s="17" t="s">
        <v>2035</v>
      </c>
      <c r="C2" s="56">
        <v>5999.94</v>
      </c>
    </row>
    <row r="3" spans="1:3">
      <c r="A3" s="17" t="s">
        <v>2033</v>
      </c>
      <c r="B3" s="17" t="s">
        <v>2036</v>
      </c>
      <c r="C3" s="56">
        <v>7000</v>
      </c>
    </row>
    <row r="4" spans="1:3">
      <c r="A4" s="17" t="s">
        <v>2037</v>
      </c>
      <c r="B4" s="17" t="s">
        <v>2048</v>
      </c>
      <c r="C4" s="56">
        <v>16000</v>
      </c>
    </row>
    <row r="5" spans="1:3">
      <c r="A5" s="20"/>
      <c r="B5" s="17" t="s">
        <v>2049</v>
      </c>
      <c r="C5" s="56">
        <v>10000</v>
      </c>
    </row>
    <row r="6" spans="1:3">
      <c r="A6" s="20"/>
      <c r="B6" s="17" t="s">
        <v>2050</v>
      </c>
      <c r="C6" s="56">
        <v>16000</v>
      </c>
    </row>
    <row r="7" spans="1:3">
      <c r="A7" s="17" t="s">
        <v>2051</v>
      </c>
      <c r="B7" s="17" t="s">
        <v>2038</v>
      </c>
      <c r="C7" s="56">
        <v>300</v>
      </c>
    </row>
    <row r="8" spans="1:3">
      <c r="A8" s="17" t="s">
        <v>2052</v>
      </c>
      <c r="B8" s="17" t="s">
        <v>2039</v>
      </c>
      <c r="C8" s="56">
        <v>400</v>
      </c>
    </row>
    <row r="9" spans="1:3">
      <c r="A9" s="17" t="s">
        <v>2053</v>
      </c>
      <c r="B9" s="17" t="s">
        <v>2040</v>
      </c>
      <c r="C9" s="56">
        <v>500</v>
      </c>
    </row>
    <row r="10" spans="1:3">
      <c r="A10" s="17" t="s">
        <v>2054</v>
      </c>
      <c r="B10" s="17" t="s">
        <v>2041</v>
      </c>
      <c r="C10" s="56">
        <v>630</v>
      </c>
    </row>
    <row r="11" spans="1:3">
      <c r="A11" s="17" t="s">
        <v>2055</v>
      </c>
      <c r="B11" s="17" t="s">
        <v>2042</v>
      </c>
      <c r="C11" s="56">
        <v>895</v>
      </c>
    </row>
    <row r="12" spans="1:3">
      <c r="A12" s="17" t="s">
        <v>2056</v>
      </c>
      <c r="B12" s="17" t="s">
        <v>2043</v>
      </c>
      <c r="C12" s="56">
        <v>300</v>
      </c>
    </row>
    <row r="13" spans="1:3">
      <c r="A13" s="17" t="s">
        <v>2057</v>
      </c>
      <c r="B13" s="17" t="s">
        <v>2044</v>
      </c>
      <c r="C13" s="56">
        <v>400</v>
      </c>
    </row>
    <row r="14" spans="1:3">
      <c r="A14" s="17" t="s">
        <v>2058</v>
      </c>
      <c r="B14" s="17" t="s">
        <v>2045</v>
      </c>
      <c r="C14" s="56">
        <v>500</v>
      </c>
    </row>
    <row r="15" spans="1:3">
      <c r="A15" s="17" t="s">
        <v>2059</v>
      </c>
      <c r="B15" s="17" t="s">
        <v>2046</v>
      </c>
      <c r="C15" s="56">
        <v>25</v>
      </c>
    </row>
    <row r="16" spans="1:3">
      <c r="A16" s="17" t="s">
        <v>2060</v>
      </c>
      <c r="B16" s="17" t="s">
        <v>2047</v>
      </c>
      <c r="C16" s="56">
        <v>35</v>
      </c>
    </row>
    <row r="17" spans="1:3">
      <c r="A17" s="17" t="s">
        <v>2062</v>
      </c>
      <c r="B17" s="17" t="s">
        <v>2063</v>
      </c>
      <c r="C17" s="56">
        <v>300</v>
      </c>
    </row>
    <row r="18" spans="1:3">
      <c r="A18" s="17" t="s">
        <v>2064</v>
      </c>
      <c r="B18" s="17" t="s">
        <v>2065</v>
      </c>
      <c r="C18" s="56">
        <v>360</v>
      </c>
    </row>
    <row r="19" spans="1:3">
      <c r="A19" s="17" t="s">
        <v>2066</v>
      </c>
      <c r="B19" s="17" t="s">
        <v>2067</v>
      </c>
      <c r="C19" s="56">
        <v>550</v>
      </c>
    </row>
    <row r="20" spans="1:3">
      <c r="A20" s="17" t="s">
        <v>2068</v>
      </c>
      <c r="B20" s="17" t="s">
        <v>2069</v>
      </c>
      <c r="C20" s="56">
        <v>850</v>
      </c>
    </row>
    <row r="21" spans="1:3">
      <c r="A21" s="17" t="s">
        <v>2078</v>
      </c>
      <c r="B21" s="17" t="s">
        <v>2073</v>
      </c>
      <c r="C21" s="56">
        <v>375</v>
      </c>
    </row>
    <row r="22" spans="1:3">
      <c r="A22" s="17" t="s">
        <v>2079</v>
      </c>
      <c r="B22" s="17" t="s">
        <v>2074</v>
      </c>
      <c r="C22" s="56">
        <v>820</v>
      </c>
    </row>
    <row r="23" spans="1:3">
      <c r="A23" s="17" t="s">
        <v>2080</v>
      </c>
      <c r="B23" s="17" t="s">
        <v>2075</v>
      </c>
      <c r="C23" s="56">
        <v>870</v>
      </c>
    </row>
    <row r="24" spans="1:3">
      <c r="A24" s="17" t="s">
        <v>2081</v>
      </c>
      <c r="B24" s="17" t="s">
        <v>2076</v>
      </c>
      <c r="C24" s="56">
        <v>1115</v>
      </c>
    </row>
    <row r="25" spans="1:3">
      <c r="A25" s="17" t="s">
        <v>2082</v>
      </c>
      <c r="B25" s="17" t="s">
        <v>2077</v>
      </c>
      <c r="C25" s="56">
        <v>1605</v>
      </c>
    </row>
    <row r="26" spans="1:3">
      <c r="A26" s="17" t="s">
        <v>2096</v>
      </c>
      <c r="B26" s="17" t="s">
        <v>2093</v>
      </c>
      <c r="C26" s="56">
        <v>3000</v>
      </c>
    </row>
    <row r="27" spans="1:3">
      <c r="A27" s="17" t="s">
        <v>2097</v>
      </c>
      <c r="B27" s="17" t="s">
        <v>2094</v>
      </c>
      <c r="C27" s="56">
        <v>1000</v>
      </c>
    </row>
    <row r="28" spans="1:3">
      <c r="A28" s="17" t="s">
        <v>2098</v>
      </c>
      <c r="B28" s="17" t="s">
        <v>2095</v>
      </c>
      <c r="C28" s="56">
        <v>820</v>
      </c>
    </row>
    <row r="29" spans="1:3">
      <c r="A29" s="17" t="s">
        <v>2088</v>
      </c>
      <c r="B29" s="17" t="s">
        <v>2083</v>
      </c>
      <c r="C29" s="56">
        <v>12000</v>
      </c>
    </row>
    <row r="30" spans="1:3">
      <c r="A30" s="17" t="s">
        <v>2089</v>
      </c>
      <c r="B30" s="17" t="s">
        <v>2084</v>
      </c>
      <c r="C30" s="56">
        <v>4500</v>
      </c>
    </row>
    <row r="31" spans="1:3">
      <c r="A31" s="17" t="s">
        <v>2092</v>
      </c>
      <c r="B31" s="17" t="s">
        <v>2085</v>
      </c>
      <c r="C31" s="56">
        <v>2200</v>
      </c>
    </row>
    <row r="32" spans="1:3">
      <c r="A32" s="17" t="s">
        <v>2090</v>
      </c>
      <c r="B32" s="17" t="s">
        <v>2086</v>
      </c>
      <c r="C32" s="56">
        <v>6500</v>
      </c>
    </row>
    <row r="33" spans="1:3">
      <c r="A33" s="17" t="s">
        <v>2091</v>
      </c>
      <c r="B33" s="17" t="s">
        <v>2087</v>
      </c>
      <c r="C33" s="56">
        <v>600</v>
      </c>
    </row>
    <row r="34" spans="1:3">
      <c r="A34" s="88"/>
      <c r="B34" s="89" t="s">
        <v>2138</v>
      </c>
      <c r="C34" s="90"/>
    </row>
    <row r="35" spans="1:3">
      <c r="A35" s="109"/>
      <c r="B35" s="106" t="s">
        <v>2101</v>
      </c>
      <c r="C35" s="110"/>
    </row>
    <row r="36" spans="1:3">
      <c r="A36" s="82">
        <v>10411</v>
      </c>
      <c r="B36" s="83" t="s">
        <v>2102</v>
      </c>
      <c r="C36" s="84">
        <v>1726.2633548160006</v>
      </c>
    </row>
    <row r="37" spans="1:3">
      <c r="A37" s="82">
        <v>10521</v>
      </c>
      <c r="B37" s="83" t="s">
        <v>2103</v>
      </c>
      <c r="C37" s="84">
        <v>1526.2012846080006</v>
      </c>
    </row>
    <row r="38" spans="1:3">
      <c r="A38" s="82">
        <v>10584</v>
      </c>
      <c r="B38" s="83" t="s">
        <v>2104</v>
      </c>
      <c r="C38" s="84">
        <v>1134.4196223360004</v>
      </c>
    </row>
    <row r="39" spans="1:3">
      <c r="A39" s="82">
        <v>10601</v>
      </c>
      <c r="B39" s="83" t="s">
        <v>2105</v>
      </c>
      <c r="C39" s="84">
        <v>2665.7140910400003</v>
      </c>
    </row>
    <row r="40" spans="1:3">
      <c r="A40" s="82">
        <v>10621</v>
      </c>
      <c r="B40" s="83" t="s">
        <v>2106</v>
      </c>
      <c r="C40" s="84">
        <v>2981.2778835840008</v>
      </c>
    </row>
    <row r="41" spans="1:3">
      <c r="A41" s="82">
        <v>10681</v>
      </c>
      <c r="B41" s="83" t="s">
        <v>2107</v>
      </c>
      <c r="C41" s="84">
        <v>481.39022131200016</v>
      </c>
    </row>
    <row r="42" spans="1:3">
      <c r="A42" s="82">
        <v>10691</v>
      </c>
      <c r="B42" s="83" t="s">
        <v>2108</v>
      </c>
      <c r="C42" s="84">
        <v>322.41092083200004</v>
      </c>
    </row>
    <row r="43" spans="1:3">
      <c r="A43" s="82">
        <v>10692</v>
      </c>
      <c r="B43" s="83" t="s">
        <v>2109</v>
      </c>
      <c r="C43" s="84">
        <v>325.53653932800017</v>
      </c>
    </row>
    <row r="44" spans="1:3">
      <c r="A44" s="82">
        <v>10722</v>
      </c>
      <c r="B44" s="83" t="s">
        <v>2110</v>
      </c>
      <c r="C44" s="84">
        <v>761.1555631680003</v>
      </c>
    </row>
    <row r="45" spans="1:3">
      <c r="A45" s="82">
        <v>10735</v>
      </c>
      <c r="B45" s="83" t="s">
        <v>2111</v>
      </c>
      <c r="C45" s="84">
        <v>5800.5407940480018</v>
      </c>
    </row>
    <row r="46" spans="1:3">
      <c r="A46" s="82">
        <v>10763</v>
      </c>
      <c r="B46" s="83" t="s">
        <v>2112</v>
      </c>
      <c r="C46" s="84">
        <v>8783.6400812160027</v>
      </c>
    </row>
    <row r="47" spans="1:3">
      <c r="A47" s="82">
        <v>10767</v>
      </c>
      <c r="B47" s="83" t="s">
        <v>2113</v>
      </c>
      <c r="C47" s="84">
        <v>4377.2937848640013</v>
      </c>
    </row>
    <row r="48" spans="1:3">
      <c r="A48" s="82">
        <v>10801</v>
      </c>
      <c r="B48" s="83" t="s">
        <v>2114</v>
      </c>
      <c r="C48" s="84">
        <v>567.07489238400012</v>
      </c>
    </row>
    <row r="49" spans="1:3">
      <c r="A49" s="82">
        <v>10952</v>
      </c>
      <c r="B49" s="85" t="s">
        <v>2115</v>
      </c>
      <c r="C49" s="84">
        <v>630.48672086400018</v>
      </c>
    </row>
    <row r="50" spans="1:3">
      <c r="A50" s="82">
        <v>10954</v>
      </c>
      <c r="B50" s="85" t="s">
        <v>2116</v>
      </c>
      <c r="C50" s="84">
        <v>1042.4162548800002</v>
      </c>
    </row>
    <row r="51" spans="1:3">
      <c r="A51" s="82">
        <v>10956</v>
      </c>
      <c r="B51" s="85" t="s">
        <v>2117</v>
      </c>
      <c r="C51" s="84">
        <v>1744.8821470080009</v>
      </c>
    </row>
    <row r="52" spans="1:3">
      <c r="A52" s="86">
        <v>10958</v>
      </c>
      <c r="B52" s="87" t="s">
        <v>2118</v>
      </c>
      <c r="C52" s="84">
        <v>2377.4601090240008</v>
      </c>
    </row>
    <row r="53" spans="1:3">
      <c r="A53" s="107"/>
      <c r="B53" s="106" t="s">
        <v>2119</v>
      </c>
      <c r="C53" s="108"/>
    </row>
    <row r="54" spans="1:3">
      <c r="A54" s="82">
        <v>10419</v>
      </c>
      <c r="B54" s="83" t="s">
        <v>2120</v>
      </c>
      <c r="C54" s="84">
        <v>3693.8064683520015</v>
      </c>
    </row>
    <row r="55" spans="1:3">
      <c r="A55" s="82">
        <v>10582</v>
      </c>
      <c r="B55" s="83" t="s">
        <v>2121</v>
      </c>
      <c r="C55" s="84">
        <v>1190.2535124480005</v>
      </c>
    </row>
    <row r="56" spans="1:3">
      <c r="A56" s="82">
        <v>10602</v>
      </c>
      <c r="B56" s="83" t="s">
        <v>2122</v>
      </c>
      <c r="C56" s="84">
        <v>2918.6193516480007</v>
      </c>
    </row>
    <row r="57" spans="1:3">
      <c r="A57" s="82">
        <v>10622</v>
      </c>
      <c r="B57" s="83" t="s">
        <v>2123</v>
      </c>
      <c r="C57" s="84">
        <v>3204.815822208001</v>
      </c>
    </row>
    <row r="58" spans="1:3">
      <c r="A58" s="82">
        <v>10681</v>
      </c>
      <c r="B58" s="83" t="s">
        <v>2107</v>
      </c>
      <c r="C58" s="84">
        <v>481.39022131200016</v>
      </c>
    </row>
    <row r="59" spans="1:3">
      <c r="A59" s="82">
        <v>10691</v>
      </c>
      <c r="B59" s="83" t="s">
        <v>2108</v>
      </c>
      <c r="C59" s="84">
        <v>322.41092083200004</v>
      </c>
    </row>
    <row r="60" spans="1:3">
      <c r="A60" s="82">
        <v>10692</v>
      </c>
      <c r="B60" s="83" t="s">
        <v>2109</v>
      </c>
      <c r="C60" s="84">
        <v>325.53653932800017</v>
      </c>
    </row>
    <row r="61" spans="1:3">
      <c r="A61" s="82">
        <v>10722</v>
      </c>
      <c r="B61" s="83" t="s">
        <v>2110</v>
      </c>
      <c r="C61" s="84">
        <v>761.1555631680003</v>
      </c>
    </row>
    <row r="62" spans="1:3">
      <c r="A62" s="82">
        <v>10735</v>
      </c>
      <c r="B62" s="83" t="s">
        <v>2111</v>
      </c>
      <c r="C62" s="84">
        <v>5800.5407940480018</v>
      </c>
    </row>
    <row r="63" spans="1:3">
      <c r="A63" s="82">
        <v>10763</v>
      </c>
      <c r="B63" s="83" t="s">
        <v>2112</v>
      </c>
      <c r="C63" s="84">
        <v>8783.6400812160027</v>
      </c>
    </row>
    <row r="64" spans="1:3">
      <c r="A64" s="82">
        <v>10767</v>
      </c>
      <c r="B64" s="83" t="s">
        <v>2113</v>
      </c>
      <c r="C64" s="84">
        <v>4377.2937848640013</v>
      </c>
    </row>
    <row r="65" spans="1:3">
      <c r="A65" s="82">
        <v>10801</v>
      </c>
      <c r="B65" s="83" t="s">
        <v>2114</v>
      </c>
      <c r="C65" s="84">
        <v>567.07489238400012</v>
      </c>
    </row>
    <row r="66" spans="1:3">
      <c r="A66" s="82">
        <v>10952</v>
      </c>
      <c r="B66" s="85" t="s">
        <v>2115</v>
      </c>
      <c r="C66" s="84">
        <v>630.48672086400018</v>
      </c>
    </row>
    <row r="67" spans="1:3">
      <c r="A67" s="82">
        <v>10954</v>
      </c>
      <c r="B67" s="85" t="s">
        <v>2116</v>
      </c>
      <c r="C67" s="84">
        <v>1042.4162548800002</v>
      </c>
    </row>
    <row r="68" spans="1:3">
      <c r="A68" s="82">
        <v>10956</v>
      </c>
      <c r="B68" s="85" t="s">
        <v>2117</v>
      </c>
      <c r="C68" s="84">
        <v>1744.8821470080009</v>
      </c>
    </row>
    <row r="69" spans="1:3">
      <c r="A69" s="86">
        <v>10958</v>
      </c>
      <c r="B69" s="87" t="s">
        <v>2118</v>
      </c>
      <c r="C69" s="84">
        <v>2377.4601090240008</v>
      </c>
    </row>
    <row r="70" spans="1:3">
      <c r="A70" s="107"/>
      <c r="B70" s="106" t="s">
        <v>2124</v>
      </c>
      <c r="C70" s="108"/>
    </row>
    <row r="71" spans="1:3">
      <c r="A71" s="82">
        <v>10429</v>
      </c>
      <c r="B71" s="83" t="s">
        <v>2125</v>
      </c>
      <c r="C71" s="84">
        <v>4157.9833014720025</v>
      </c>
    </row>
    <row r="72" spans="1:3">
      <c r="A72" s="82">
        <v>10582</v>
      </c>
      <c r="B72" s="83" t="s">
        <v>2121</v>
      </c>
      <c r="C72" s="84">
        <v>1190.2535124480005</v>
      </c>
    </row>
    <row r="73" spans="1:3">
      <c r="A73" s="82">
        <v>10605</v>
      </c>
      <c r="B73" s="83" t="s">
        <v>2126</v>
      </c>
      <c r="C73" s="84">
        <v>2945.861702784</v>
      </c>
    </row>
    <row r="74" spans="1:3">
      <c r="A74" s="82">
        <v>10619</v>
      </c>
      <c r="B74" s="83" t="s">
        <v>2127</v>
      </c>
      <c r="C74" s="84">
        <v>3278.5714241280002</v>
      </c>
    </row>
    <row r="75" spans="1:3">
      <c r="A75" s="82">
        <v>10681</v>
      </c>
      <c r="B75" s="83" t="s">
        <v>2107</v>
      </c>
      <c r="C75" s="84">
        <v>481.39022131200016</v>
      </c>
    </row>
    <row r="76" spans="1:3">
      <c r="A76" s="82">
        <v>10696</v>
      </c>
      <c r="B76" s="83" t="s">
        <v>2128</v>
      </c>
      <c r="C76" s="84">
        <v>180.16154956800005</v>
      </c>
    </row>
    <row r="77" spans="1:3">
      <c r="A77" s="82">
        <v>10700</v>
      </c>
      <c r="B77" s="83" t="s">
        <v>2129</v>
      </c>
      <c r="C77" s="84">
        <v>583.57995696000023</v>
      </c>
    </row>
    <row r="78" spans="1:3">
      <c r="A78" s="82">
        <v>10739</v>
      </c>
      <c r="B78" s="83" t="s">
        <v>2111</v>
      </c>
      <c r="C78" s="84">
        <v>5420.6432280000026</v>
      </c>
    </row>
    <row r="79" spans="1:3">
      <c r="A79" s="82">
        <v>10740</v>
      </c>
      <c r="B79" s="83" t="s">
        <v>2130</v>
      </c>
      <c r="C79" s="84">
        <v>8301.3391581120013</v>
      </c>
    </row>
    <row r="80" spans="1:3">
      <c r="A80" s="82">
        <v>10786</v>
      </c>
      <c r="B80" s="83" t="s">
        <v>2131</v>
      </c>
      <c r="C80" s="84">
        <v>4446.8444180160022</v>
      </c>
    </row>
    <row r="81" spans="1:3">
      <c r="A81" s="82">
        <v>10801</v>
      </c>
      <c r="B81" s="83" t="s">
        <v>2114</v>
      </c>
      <c r="C81" s="84">
        <v>567.07489238400012</v>
      </c>
    </row>
    <row r="82" spans="1:3">
      <c r="A82" s="82">
        <v>10952</v>
      </c>
      <c r="B82" s="85" t="s">
        <v>2115</v>
      </c>
      <c r="C82" s="84">
        <v>630.48672086400018</v>
      </c>
    </row>
    <row r="83" spans="1:3">
      <c r="A83" s="82">
        <v>10954</v>
      </c>
      <c r="B83" s="85" t="s">
        <v>2116</v>
      </c>
      <c r="C83" s="84">
        <v>1042.4162548800002</v>
      </c>
    </row>
    <row r="84" spans="1:3">
      <c r="A84" s="82">
        <v>10956</v>
      </c>
      <c r="B84" s="85" t="s">
        <v>2117</v>
      </c>
      <c r="C84" s="84">
        <v>1744.8821470080009</v>
      </c>
    </row>
    <row r="85" spans="1:3">
      <c r="A85" s="86">
        <v>10958</v>
      </c>
      <c r="B85" s="87" t="s">
        <v>2118</v>
      </c>
      <c r="C85" s="84">
        <v>2377.4601090240008</v>
      </c>
    </row>
    <row r="86" spans="1:3">
      <c r="A86" s="104"/>
      <c r="B86" s="106" t="s">
        <v>2132</v>
      </c>
      <c r="C86" s="105"/>
    </row>
    <row r="87" spans="1:3">
      <c r="A87" s="82">
        <v>10427</v>
      </c>
      <c r="B87" s="83" t="s">
        <v>2133</v>
      </c>
      <c r="C87" s="84">
        <v>9043.1338757760059</v>
      </c>
    </row>
    <row r="88" spans="1:3">
      <c r="A88" s="82">
        <v>10582</v>
      </c>
      <c r="B88" s="83" t="s">
        <v>2121</v>
      </c>
      <c r="C88" s="84">
        <v>1190.2535124480005</v>
      </c>
    </row>
    <row r="89" spans="1:3">
      <c r="A89" s="82">
        <v>10606</v>
      </c>
      <c r="B89" s="83" t="s">
        <v>2134</v>
      </c>
      <c r="C89" s="84">
        <v>6646.9425422400018</v>
      </c>
    </row>
    <row r="90" spans="1:3">
      <c r="A90" s="82">
        <v>10635</v>
      </c>
      <c r="B90" s="83" t="s">
        <v>2135</v>
      </c>
      <c r="C90" s="84">
        <v>7879.0321209600024</v>
      </c>
    </row>
    <row r="91" spans="1:3">
      <c r="A91" s="82">
        <v>10681</v>
      </c>
      <c r="B91" s="83" t="s">
        <v>2107</v>
      </c>
      <c r="C91" s="84">
        <v>481.39022131200016</v>
      </c>
    </row>
    <row r="92" spans="1:3">
      <c r="A92" s="82">
        <v>10691</v>
      </c>
      <c r="B92" s="83" t="s">
        <v>2108</v>
      </c>
      <c r="C92" s="84">
        <v>322.41092083200004</v>
      </c>
    </row>
    <row r="93" spans="1:3">
      <c r="A93" s="82">
        <v>10692</v>
      </c>
      <c r="B93" s="83" t="s">
        <v>2109</v>
      </c>
      <c r="C93" s="84">
        <v>325.53653932800017</v>
      </c>
    </row>
    <row r="94" spans="1:3">
      <c r="A94" s="82">
        <v>10703</v>
      </c>
      <c r="B94" s="83" t="s">
        <v>2136</v>
      </c>
      <c r="C94" s="84">
        <v>1127.0553053760002</v>
      </c>
    </row>
    <row r="95" spans="1:3">
      <c r="A95" s="82">
        <v>10735</v>
      </c>
      <c r="B95" s="83" t="s">
        <v>2111</v>
      </c>
      <c r="C95" s="84">
        <v>5800.5407940480018</v>
      </c>
    </row>
    <row r="96" spans="1:3">
      <c r="A96" s="82">
        <v>10737</v>
      </c>
      <c r="B96" s="83" t="s">
        <v>2130</v>
      </c>
      <c r="C96" s="84">
        <v>12015.079876800006</v>
      </c>
    </row>
    <row r="97" spans="1:3">
      <c r="A97" s="82">
        <v>10789</v>
      </c>
      <c r="B97" s="83" t="s">
        <v>2137</v>
      </c>
      <c r="C97" s="84">
        <v>15097.659280704003</v>
      </c>
    </row>
    <row r="98" spans="1:3">
      <c r="A98" s="82">
        <v>10801</v>
      </c>
      <c r="B98" s="83" t="s">
        <v>2114</v>
      </c>
      <c r="C98" s="84">
        <v>567.07489238400012</v>
      </c>
    </row>
    <row r="99" spans="1:3">
      <c r="A99" s="82">
        <v>10952</v>
      </c>
      <c r="B99" s="85" t="s">
        <v>2115</v>
      </c>
      <c r="C99" s="84">
        <v>630.48672086400018</v>
      </c>
    </row>
    <row r="100" spans="1:3">
      <c r="A100" s="82">
        <v>10954</v>
      </c>
      <c r="B100" s="85" t="s">
        <v>2116</v>
      </c>
      <c r="C100" s="84">
        <v>1042.4162548800002</v>
      </c>
    </row>
    <row r="101" spans="1:3">
      <c r="A101" s="82">
        <v>10956</v>
      </c>
      <c r="B101" s="85" t="s">
        <v>2117</v>
      </c>
      <c r="C101" s="84">
        <v>1744.8821470080009</v>
      </c>
    </row>
    <row r="102" spans="1:3">
      <c r="A102" s="86">
        <v>10958</v>
      </c>
      <c r="B102" s="87" t="s">
        <v>2118</v>
      </c>
      <c r="C102" s="84">
        <v>2377.4601090240008</v>
      </c>
    </row>
    <row r="103" spans="1:3">
      <c r="A103" s="104"/>
      <c r="B103" s="106" t="s">
        <v>2139</v>
      </c>
      <c r="C103" s="105"/>
    </row>
    <row r="104" spans="1:3">
      <c r="A104" s="91">
        <v>33551</v>
      </c>
      <c r="B104" s="83" t="s">
        <v>2140</v>
      </c>
      <c r="C104" s="84">
        <v>61762.423859136034</v>
      </c>
    </row>
    <row r="105" spans="1:3">
      <c r="A105" s="82">
        <v>32751</v>
      </c>
      <c r="B105" s="83" t="s">
        <v>2168</v>
      </c>
      <c r="C105" s="84">
        <v>168.92956080000005</v>
      </c>
    </row>
    <row r="106" spans="1:3">
      <c r="A106" s="82">
        <v>51636</v>
      </c>
      <c r="B106" s="83" t="s">
        <v>2141</v>
      </c>
      <c r="C106" s="84">
        <v>1706.8125634560006</v>
      </c>
    </row>
    <row r="107" spans="1:3">
      <c r="A107" s="82">
        <v>51637</v>
      </c>
      <c r="B107" s="83" t="s">
        <v>2142</v>
      </c>
      <c r="C107" s="84">
        <v>2064.0212873280007</v>
      </c>
    </row>
    <row r="108" spans="1:3">
      <c r="A108" s="82">
        <v>51638</v>
      </c>
      <c r="B108" s="83" t="s">
        <v>2143</v>
      </c>
      <c r="C108" s="84">
        <v>3050.2438686720006</v>
      </c>
    </row>
    <row r="109" spans="1:3">
      <c r="A109" s="82">
        <v>51639</v>
      </c>
      <c r="B109" s="83" t="s">
        <v>2144</v>
      </c>
      <c r="C109" s="84">
        <v>3812.8048358400006</v>
      </c>
    </row>
    <row r="110" spans="1:3">
      <c r="A110" s="99"/>
      <c r="B110" s="101" t="s">
        <v>2166</v>
      </c>
      <c r="C110" s="100"/>
    </row>
    <row r="111" spans="1:3" ht="26.4">
      <c r="A111" s="92" t="s">
        <v>2071</v>
      </c>
      <c r="B111" s="93" t="s">
        <v>2072</v>
      </c>
      <c r="C111" s="94">
        <v>130.13000000000002</v>
      </c>
    </row>
    <row r="112" spans="1:3" ht="26.4">
      <c r="A112" s="92" t="s">
        <v>2145</v>
      </c>
      <c r="B112" s="93" t="s">
        <v>2167</v>
      </c>
      <c r="C112" s="94">
        <v>174.46000000000004</v>
      </c>
    </row>
    <row r="113" spans="1:3" ht="26.4">
      <c r="A113" s="92" t="s">
        <v>2099</v>
      </c>
      <c r="B113" s="93" t="s">
        <v>2100</v>
      </c>
      <c r="C113" s="94">
        <v>151.58000000000001</v>
      </c>
    </row>
    <row r="114" spans="1:3">
      <c r="A114" s="95" t="s">
        <v>2146</v>
      </c>
      <c r="B114" s="96" t="s">
        <v>2147</v>
      </c>
      <c r="C114" s="94">
        <v>6881.1600000000008</v>
      </c>
    </row>
    <row r="115" spans="1:3">
      <c r="A115" s="17" t="s">
        <v>2148</v>
      </c>
      <c r="B115" s="97" t="s">
        <v>2149</v>
      </c>
      <c r="C115" s="94">
        <v>22596.86</v>
      </c>
    </row>
    <row r="116" spans="1:3">
      <c r="A116" s="97" t="s">
        <v>2150</v>
      </c>
      <c r="B116" s="97" t="s">
        <v>2151</v>
      </c>
      <c r="C116" s="94">
        <v>33091.630000000005</v>
      </c>
    </row>
    <row r="117" spans="1:3">
      <c r="A117" s="95" t="s">
        <v>2152</v>
      </c>
      <c r="B117" s="96" t="s">
        <v>2153</v>
      </c>
      <c r="C117" s="94">
        <v>4593.8276384000001</v>
      </c>
    </row>
    <row r="118" spans="1:3">
      <c r="A118" s="98" t="s">
        <v>2154</v>
      </c>
      <c r="B118" s="98" t="s">
        <v>2155</v>
      </c>
      <c r="C118" s="94">
        <v>593.45000000000005</v>
      </c>
    </row>
    <row r="119" spans="1:3">
      <c r="A119" s="98" t="s">
        <v>2156</v>
      </c>
      <c r="B119" s="98" t="s">
        <v>2157</v>
      </c>
      <c r="C119" s="94">
        <v>715</v>
      </c>
    </row>
    <row r="120" spans="1:3">
      <c r="A120" s="98" t="s">
        <v>2158</v>
      </c>
      <c r="B120" s="98" t="s">
        <v>2159</v>
      </c>
      <c r="C120" s="94">
        <v>1002.4300000000001</v>
      </c>
    </row>
    <row r="121" spans="1:3">
      <c r="A121" s="98" t="s">
        <v>2160</v>
      </c>
      <c r="B121" s="98" t="s">
        <v>2161</v>
      </c>
      <c r="C121" s="94">
        <v>1242.67</v>
      </c>
    </row>
    <row r="122" spans="1:3">
      <c r="A122" s="98" t="s">
        <v>2162</v>
      </c>
      <c r="B122" s="98" t="s">
        <v>2163</v>
      </c>
      <c r="C122" s="94">
        <v>1947.66</v>
      </c>
    </row>
    <row r="123" spans="1:3">
      <c r="A123" s="98" t="s">
        <v>2164</v>
      </c>
      <c r="B123" s="98" t="s">
        <v>2165</v>
      </c>
      <c r="C123" s="94">
        <v>3374.8</v>
      </c>
    </row>
    <row r="124" spans="1:3" ht="17.399999999999999">
      <c r="A124" s="102"/>
      <c r="B124" s="111" t="s">
        <v>2169</v>
      </c>
      <c r="C124" s="103"/>
    </row>
    <row r="125" spans="1:3">
      <c r="A125" s="97" t="s">
        <v>2170</v>
      </c>
      <c r="B125" s="97" t="s">
        <v>2171</v>
      </c>
      <c r="C125" s="94">
        <v>868.0100000000001</v>
      </c>
    </row>
    <row r="126" spans="1:3">
      <c r="A126" s="97" t="s">
        <v>2172</v>
      </c>
      <c r="B126" s="97" t="s">
        <v>2173</v>
      </c>
      <c r="C126" s="94">
        <v>701.21479999999997</v>
      </c>
    </row>
    <row r="127" spans="1:3">
      <c r="A127" s="17" t="s">
        <v>2174</v>
      </c>
      <c r="B127" s="97" t="s">
        <v>2175</v>
      </c>
      <c r="C127" s="94">
        <v>1186.9000000000001</v>
      </c>
    </row>
    <row r="128" spans="1:3">
      <c r="A128" s="97" t="s">
        <v>2176</v>
      </c>
      <c r="B128" s="97" t="s">
        <v>2177</v>
      </c>
      <c r="C128" s="94">
        <v>992.42000000000019</v>
      </c>
    </row>
    <row r="129" spans="1:3">
      <c r="A129" s="17" t="s">
        <v>2178</v>
      </c>
      <c r="B129" s="97" t="s">
        <v>2179</v>
      </c>
      <c r="C129" s="94">
        <v>1187.9867999999999</v>
      </c>
    </row>
    <row r="130" spans="1:3">
      <c r="A130" s="17" t="s">
        <v>2180</v>
      </c>
      <c r="B130" s="97" t="s">
        <v>2181</v>
      </c>
      <c r="C130" s="94">
        <v>1352.7800000000002</v>
      </c>
    </row>
    <row r="131" spans="1:3">
      <c r="A131" s="17" t="s">
        <v>2182</v>
      </c>
      <c r="B131" s="97" t="s">
        <v>2183</v>
      </c>
      <c r="C131" s="94">
        <v>483.34000000000003</v>
      </c>
    </row>
    <row r="132" spans="1:3">
      <c r="A132" s="17" t="s">
        <v>2184</v>
      </c>
      <c r="B132" s="97" t="s">
        <v>2185</v>
      </c>
      <c r="C132" s="94">
        <v>430.43000000000006</v>
      </c>
    </row>
    <row r="133" spans="1:3">
      <c r="A133" s="98" t="s">
        <v>2186</v>
      </c>
      <c r="B133" s="98" t="s">
        <v>2187</v>
      </c>
      <c r="C133" s="94">
        <v>248.82000000000002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"/>
  <sheetViews>
    <sheetView workbookViewId="0">
      <selection activeCell="B9" sqref="B9"/>
    </sheetView>
  </sheetViews>
  <sheetFormatPr defaultRowHeight="14.4"/>
  <cols>
    <col min="1" max="1" width="18.21875" customWidth="1"/>
    <col min="2" max="2" width="56.5546875" customWidth="1"/>
    <col min="3" max="3" width="12" customWidth="1"/>
    <col min="4" max="4" width="10.77734375" customWidth="1"/>
  </cols>
  <sheetData>
    <row r="1" spans="1:4" ht="15" thickTop="1">
      <c r="A1" s="148"/>
      <c r="B1" s="153" t="s">
        <v>2624</v>
      </c>
      <c r="C1" s="149"/>
      <c r="D1" s="149"/>
    </row>
    <row r="2" spans="1:4" ht="53.4">
      <c r="A2" s="135" t="s">
        <v>2535</v>
      </c>
      <c r="B2" s="137" t="s">
        <v>2530</v>
      </c>
      <c r="C2" s="139">
        <v>629998.19999999995</v>
      </c>
      <c r="D2" s="53">
        <f>C2/317</f>
        <v>1987.376025236593</v>
      </c>
    </row>
    <row r="3" spans="1:4" ht="40.200000000000003">
      <c r="A3" s="135" t="s">
        <v>2536</v>
      </c>
      <c r="B3" s="137" t="s">
        <v>2531</v>
      </c>
      <c r="C3" s="139">
        <v>565333.39199999999</v>
      </c>
      <c r="D3" s="53">
        <f t="shared" ref="D3:D6" si="0">C3/317</f>
        <v>1783.386094637224</v>
      </c>
    </row>
    <row r="4" spans="1:4" ht="40.200000000000003">
      <c r="A4" s="135" t="s">
        <v>2537</v>
      </c>
      <c r="B4" s="137" t="s">
        <v>2532</v>
      </c>
      <c r="C4" s="139">
        <v>380898.95999999996</v>
      </c>
      <c r="D4" s="53">
        <f t="shared" si="0"/>
        <v>1201.5740063091482</v>
      </c>
    </row>
    <row r="5" spans="1:4" ht="40.200000000000003">
      <c r="A5" s="135" t="s">
        <v>2538</v>
      </c>
      <c r="B5" s="137" t="s">
        <v>2533</v>
      </c>
      <c r="C5" s="139">
        <v>561322.00800000003</v>
      </c>
      <c r="D5" s="170">
        <f t="shared" si="0"/>
        <v>1770.7318864353313</v>
      </c>
    </row>
    <row r="6" spans="1:4" ht="40.200000000000003">
      <c r="A6" s="167" t="s">
        <v>2539</v>
      </c>
      <c r="B6" s="168" t="s">
        <v>2534</v>
      </c>
      <c r="C6" s="169">
        <v>571920.33600000001</v>
      </c>
      <c r="D6" s="53">
        <f t="shared" si="0"/>
        <v>1804.1650977917982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18"/>
  <sheetViews>
    <sheetView topLeftCell="A109" workbookViewId="0">
      <selection activeCell="H83" sqref="H83"/>
    </sheetView>
  </sheetViews>
  <sheetFormatPr defaultRowHeight="14.4"/>
  <cols>
    <col min="1" max="1" width="21.21875" customWidth="1"/>
    <col min="2" max="2" width="70" customWidth="1"/>
    <col min="3" max="3" width="12.109375" customWidth="1"/>
    <col min="4" max="4" width="13.33203125" customWidth="1"/>
  </cols>
  <sheetData>
    <row r="1" spans="1:4" ht="15" thickBot="1">
      <c r="A1" s="17"/>
      <c r="B1" s="33" t="s">
        <v>2465</v>
      </c>
      <c r="C1" s="51"/>
      <c r="D1" s="51"/>
    </row>
    <row r="2" spans="1:4" ht="15" thickTop="1">
      <c r="A2" s="133" t="s">
        <v>2361</v>
      </c>
      <c r="B2" s="134" t="s">
        <v>2362</v>
      </c>
      <c r="C2" s="138">
        <v>36317.424000000006</v>
      </c>
      <c r="D2" s="53">
        <f>C2/317</f>
        <v>114.56600630914828</v>
      </c>
    </row>
    <row r="3" spans="1:4">
      <c r="A3" s="135" t="s">
        <v>2363</v>
      </c>
      <c r="B3" s="136" t="s">
        <v>2364</v>
      </c>
      <c r="C3" s="139">
        <v>41826.384600000005</v>
      </c>
      <c r="D3" s="53">
        <f t="shared" ref="D3:D53" si="0">C3/317</f>
        <v>131.94443091482651</v>
      </c>
    </row>
    <row r="4" spans="1:4">
      <c r="A4" s="135" t="s">
        <v>2365</v>
      </c>
      <c r="B4" s="136" t="s">
        <v>2366</v>
      </c>
      <c r="C4" s="139">
        <v>51175.667400000013</v>
      </c>
      <c r="D4" s="53">
        <f t="shared" si="0"/>
        <v>161.43743659305997</v>
      </c>
    </row>
    <row r="5" spans="1:4">
      <c r="A5" s="135" t="s">
        <v>2367</v>
      </c>
      <c r="B5" s="136" t="s">
        <v>2368</v>
      </c>
      <c r="C5" s="139">
        <v>50873.022200000007</v>
      </c>
      <c r="D5" s="53">
        <f t="shared" si="0"/>
        <v>160.48271987381705</v>
      </c>
    </row>
    <row r="6" spans="1:4">
      <c r="A6" s="135" t="s">
        <v>2369</v>
      </c>
      <c r="B6" s="136" t="s">
        <v>2370</v>
      </c>
      <c r="C6" s="139">
        <v>51772.778200000008</v>
      </c>
      <c r="D6" s="53">
        <f t="shared" si="0"/>
        <v>163.32106687697163</v>
      </c>
    </row>
    <row r="7" spans="1:4">
      <c r="A7" s="135" t="s">
        <v>2371</v>
      </c>
      <c r="B7" s="136" t="s">
        <v>2372</v>
      </c>
      <c r="C7" s="139">
        <v>161821.11660000001</v>
      </c>
      <c r="D7" s="53">
        <f t="shared" si="0"/>
        <v>510.47670851735018</v>
      </c>
    </row>
    <row r="8" spans="1:4">
      <c r="A8" s="135" t="s">
        <v>2373</v>
      </c>
      <c r="B8" s="136" t="s">
        <v>2374</v>
      </c>
      <c r="C8" s="139">
        <v>151886.99240000002</v>
      </c>
      <c r="D8" s="53">
        <f t="shared" si="0"/>
        <v>479.13877728706632</v>
      </c>
    </row>
    <row r="9" spans="1:4">
      <c r="A9" s="135" t="s">
        <v>2375</v>
      </c>
      <c r="B9" s="136" t="s">
        <v>2376</v>
      </c>
      <c r="C9" s="139">
        <v>182535.95360000004</v>
      </c>
      <c r="D9" s="53">
        <f t="shared" si="0"/>
        <v>575.82319747634085</v>
      </c>
    </row>
    <row r="10" spans="1:4">
      <c r="A10" s="135" t="s">
        <v>2377</v>
      </c>
      <c r="B10" s="136" t="s">
        <v>2378</v>
      </c>
      <c r="C10" s="139">
        <v>88989.958200000008</v>
      </c>
      <c r="D10" s="53">
        <f t="shared" si="0"/>
        <v>280.72542018927447</v>
      </c>
    </row>
    <row r="11" spans="1:4">
      <c r="A11" s="135" t="s">
        <v>2379</v>
      </c>
      <c r="B11" s="136" t="s">
        <v>2380</v>
      </c>
      <c r="C11" s="139">
        <v>86519.718999999997</v>
      </c>
      <c r="D11" s="53">
        <f t="shared" si="0"/>
        <v>272.93286750788644</v>
      </c>
    </row>
    <row r="12" spans="1:4">
      <c r="A12" s="135" t="s">
        <v>2381</v>
      </c>
      <c r="B12" s="136" t="s">
        <v>2382</v>
      </c>
      <c r="C12" s="139">
        <v>48811.763000000014</v>
      </c>
      <c r="D12" s="53">
        <f t="shared" si="0"/>
        <v>153.98032492113569</v>
      </c>
    </row>
    <row r="13" spans="1:4">
      <c r="A13" s="135" t="s">
        <v>2383</v>
      </c>
      <c r="B13" s="136" t="s">
        <v>2384</v>
      </c>
      <c r="C13" s="139">
        <v>20890.698400000005</v>
      </c>
      <c r="D13" s="53">
        <f t="shared" si="0"/>
        <v>65.9012567823344</v>
      </c>
    </row>
    <row r="14" spans="1:4">
      <c r="A14" s="135" t="s">
        <v>2385</v>
      </c>
      <c r="B14" s="136" t="s">
        <v>2386</v>
      </c>
      <c r="C14" s="139">
        <v>36849.098000000005</v>
      </c>
      <c r="D14" s="53">
        <f t="shared" si="0"/>
        <v>116.2432113564669</v>
      </c>
    </row>
    <row r="15" spans="1:4">
      <c r="A15" s="135" t="s">
        <v>2387</v>
      </c>
      <c r="B15" s="136" t="s">
        <v>2388</v>
      </c>
      <c r="C15" s="139">
        <v>47331.255400000009</v>
      </c>
      <c r="D15" s="53">
        <f t="shared" si="0"/>
        <v>149.30995394321769</v>
      </c>
    </row>
    <row r="16" spans="1:4">
      <c r="A16" s="135" t="s">
        <v>2389</v>
      </c>
      <c r="B16" s="136" t="s">
        <v>2390</v>
      </c>
      <c r="C16" s="139">
        <v>59367.536800000009</v>
      </c>
      <c r="D16" s="53">
        <f t="shared" si="0"/>
        <v>187.27929589905366</v>
      </c>
    </row>
    <row r="17" spans="1:4">
      <c r="A17" s="135" t="s">
        <v>2391</v>
      </c>
      <c r="B17" s="136" t="s">
        <v>2392</v>
      </c>
      <c r="C17" s="139">
        <v>42726.140600000006</v>
      </c>
      <c r="D17" s="53">
        <f t="shared" si="0"/>
        <v>134.78277791798109</v>
      </c>
    </row>
    <row r="18" spans="1:4">
      <c r="A18" s="135" t="s">
        <v>2393</v>
      </c>
      <c r="B18" s="136" t="s">
        <v>2394</v>
      </c>
      <c r="C18" s="139">
        <v>106915.55160000004</v>
      </c>
      <c r="D18" s="53">
        <f t="shared" si="0"/>
        <v>337.27303343848592</v>
      </c>
    </row>
    <row r="19" spans="1:4">
      <c r="A19" s="135" t="s">
        <v>2395</v>
      </c>
      <c r="B19" s="136" t="s">
        <v>2396</v>
      </c>
      <c r="C19" s="139">
        <v>91325.234000000011</v>
      </c>
      <c r="D19" s="53">
        <f t="shared" si="0"/>
        <v>288.09222082018931</v>
      </c>
    </row>
    <row r="20" spans="1:4">
      <c r="A20" s="135" t="s">
        <v>2397</v>
      </c>
      <c r="B20" s="136" t="s">
        <v>2398</v>
      </c>
      <c r="C20" s="139">
        <v>175129.32580000005</v>
      </c>
      <c r="D20" s="53">
        <f t="shared" si="0"/>
        <v>552.45844100946385</v>
      </c>
    </row>
    <row r="21" spans="1:4">
      <c r="A21" s="135" t="s">
        <v>2399</v>
      </c>
      <c r="B21" s="136" t="s">
        <v>2400</v>
      </c>
      <c r="C21" s="139">
        <v>231556.29640000005</v>
      </c>
      <c r="D21" s="53">
        <f t="shared" si="0"/>
        <v>730.46150283911686</v>
      </c>
    </row>
    <row r="22" spans="1:4">
      <c r="A22" s="135" t="s">
        <v>2401</v>
      </c>
      <c r="B22" s="136" t="s">
        <v>2402</v>
      </c>
      <c r="C22" s="139">
        <v>223740.68860000005</v>
      </c>
      <c r="D22" s="53">
        <f t="shared" si="0"/>
        <v>705.80658864353325</v>
      </c>
    </row>
    <row r="23" spans="1:4">
      <c r="A23" s="135" t="s">
        <v>2403</v>
      </c>
      <c r="B23" s="136" t="s">
        <v>2404</v>
      </c>
      <c r="C23" s="139">
        <v>182405.08000000005</v>
      </c>
      <c r="D23" s="53">
        <f t="shared" si="0"/>
        <v>575.4103470031547</v>
      </c>
    </row>
    <row r="24" spans="1:4">
      <c r="A24" s="135" t="s">
        <v>2405</v>
      </c>
      <c r="B24" s="136" t="s">
        <v>2406</v>
      </c>
      <c r="C24" s="139">
        <v>268172.27580000006</v>
      </c>
      <c r="D24" s="53">
        <f t="shared" si="0"/>
        <v>845.96932429022104</v>
      </c>
    </row>
    <row r="25" spans="1:4">
      <c r="A25" s="135" t="s">
        <v>2407</v>
      </c>
      <c r="B25" s="136" t="s">
        <v>2408</v>
      </c>
      <c r="C25" s="139">
        <v>383942.24440000008</v>
      </c>
      <c r="D25" s="53">
        <f t="shared" si="0"/>
        <v>1211.1742725552053</v>
      </c>
    </row>
    <row r="26" spans="1:4">
      <c r="A26" s="135" t="s">
        <v>2409</v>
      </c>
      <c r="B26" s="136" t="s">
        <v>2410</v>
      </c>
      <c r="C26" s="139">
        <v>441121.73820000002</v>
      </c>
      <c r="D26" s="53">
        <f t="shared" si="0"/>
        <v>1391.5512246056783</v>
      </c>
    </row>
    <row r="27" spans="1:4">
      <c r="A27" s="135" t="s">
        <v>2411</v>
      </c>
      <c r="B27" s="136" t="s">
        <v>2412</v>
      </c>
      <c r="C27" s="139">
        <v>679201.26560000004</v>
      </c>
      <c r="D27" s="53">
        <f t="shared" si="0"/>
        <v>2142.5907432176659</v>
      </c>
    </row>
    <row r="28" spans="1:4">
      <c r="A28" s="135" t="s">
        <v>2413</v>
      </c>
      <c r="B28" s="136" t="s">
        <v>2414</v>
      </c>
      <c r="C28" s="139">
        <v>720446.89860000019</v>
      </c>
      <c r="D28" s="53">
        <f t="shared" si="0"/>
        <v>2272.7031501577294</v>
      </c>
    </row>
    <row r="29" spans="1:4">
      <c r="A29" s="135" t="s">
        <v>2415</v>
      </c>
      <c r="B29" s="136" t="s">
        <v>2416</v>
      </c>
      <c r="C29" s="139">
        <v>155093.39560000002</v>
      </c>
      <c r="D29" s="53">
        <f t="shared" si="0"/>
        <v>489.25361388012624</v>
      </c>
    </row>
    <row r="30" spans="1:4">
      <c r="A30" s="135" t="s">
        <v>2417</v>
      </c>
      <c r="B30" s="136" t="s">
        <v>2418</v>
      </c>
      <c r="C30" s="139">
        <v>213622.52340000003</v>
      </c>
      <c r="D30" s="53">
        <f t="shared" si="0"/>
        <v>673.88808643533139</v>
      </c>
    </row>
    <row r="31" spans="1:4">
      <c r="A31" s="135" t="s">
        <v>2419</v>
      </c>
      <c r="B31" s="136" t="s">
        <v>2420</v>
      </c>
      <c r="C31" s="139">
        <v>294796.8738</v>
      </c>
      <c r="D31" s="53">
        <f t="shared" si="0"/>
        <v>929.95859242902213</v>
      </c>
    </row>
    <row r="32" spans="1:4">
      <c r="A32" s="135" t="s">
        <v>2421</v>
      </c>
      <c r="B32" s="136" t="s">
        <v>2422</v>
      </c>
      <c r="C32" s="139">
        <v>508521.64220000012</v>
      </c>
      <c r="D32" s="53">
        <f t="shared" si="0"/>
        <v>1604.1692182965303</v>
      </c>
    </row>
    <row r="33" spans="1:4">
      <c r="A33" s="135" t="s">
        <v>2423</v>
      </c>
      <c r="B33" s="136" t="s">
        <v>2424</v>
      </c>
      <c r="C33" s="139">
        <v>706259.3824</v>
      </c>
      <c r="D33" s="53">
        <f t="shared" si="0"/>
        <v>2227.9475785488958</v>
      </c>
    </row>
    <row r="34" spans="1:4">
      <c r="A34" s="135" t="s">
        <v>2425</v>
      </c>
      <c r="B34" s="136" t="s">
        <v>2426</v>
      </c>
      <c r="C34" s="139">
        <v>597073.99180000008</v>
      </c>
      <c r="D34" s="53">
        <f t="shared" si="0"/>
        <v>1883.5141697160886</v>
      </c>
    </row>
    <row r="35" spans="1:4">
      <c r="A35" s="135" t="s">
        <v>2427</v>
      </c>
      <c r="B35" s="136" t="s">
        <v>2428</v>
      </c>
      <c r="C35" s="139">
        <v>790407.01740000013</v>
      </c>
      <c r="D35" s="53">
        <f t="shared" si="0"/>
        <v>2493.3975312302841</v>
      </c>
    </row>
    <row r="36" spans="1:4">
      <c r="A36" s="135" t="s">
        <v>2429</v>
      </c>
      <c r="B36" s="136" t="s">
        <v>2430</v>
      </c>
      <c r="C36" s="139">
        <v>792145.18240000005</v>
      </c>
      <c r="D36" s="53">
        <f t="shared" si="0"/>
        <v>2498.8807015772873</v>
      </c>
    </row>
    <row r="37" spans="1:4">
      <c r="A37" s="135" t="s">
        <v>2431</v>
      </c>
      <c r="B37" s="136" t="s">
        <v>2432</v>
      </c>
      <c r="C37" s="139">
        <v>944886.9430000002</v>
      </c>
      <c r="D37" s="53">
        <f t="shared" si="0"/>
        <v>2980.7159085173507</v>
      </c>
    </row>
    <row r="38" spans="1:4">
      <c r="A38" s="135" t="s">
        <v>2433</v>
      </c>
      <c r="B38" s="136" t="s">
        <v>2434</v>
      </c>
      <c r="C38" s="139">
        <v>909534.71180000005</v>
      </c>
      <c r="D38" s="53">
        <f t="shared" si="0"/>
        <v>2869.1946744479496</v>
      </c>
    </row>
    <row r="39" spans="1:4">
      <c r="A39" s="135" t="s">
        <v>2435</v>
      </c>
      <c r="B39" s="136" t="s">
        <v>2436</v>
      </c>
      <c r="C39" s="139">
        <v>1040216.0912000001</v>
      </c>
      <c r="D39" s="53">
        <f t="shared" si="0"/>
        <v>3281.4387735015775</v>
      </c>
    </row>
    <row r="40" spans="1:4">
      <c r="A40" s="135" t="s">
        <v>2437</v>
      </c>
      <c r="B40" s="136" t="s">
        <v>2438</v>
      </c>
      <c r="C40" s="139">
        <v>2523422.9592000004</v>
      </c>
      <c r="D40" s="53">
        <f t="shared" si="0"/>
        <v>7960.3247924290235</v>
      </c>
    </row>
    <row r="41" spans="1:4">
      <c r="A41" s="135" t="s">
        <v>2439</v>
      </c>
      <c r="B41" s="136" t="s">
        <v>2440</v>
      </c>
      <c r="C41" s="139">
        <v>688562.81780000019</v>
      </c>
      <c r="D41" s="53">
        <f t="shared" si="0"/>
        <v>2172.1224536277609</v>
      </c>
    </row>
    <row r="42" spans="1:4">
      <c r="A42" s="135" t="s">
        <v>2441</v>
      </c>
      <c r="B42" s="136" t="s">
        <v>2442</v>
      </c>
      <c r="C42" s="139">
        <v>635530.38120000006</v>
      </c>
      <c r="D42" s="53">
        <f t="shared" si="0"/>
        <v>2004.8277009463725</v>
      </c>
    </row>
    <row r="43" spans="1:4">
      <c r="A43" s="135" t="s">
        <v>2443</v>
      </c>
      <c r="B43" s="136" t="s">
        <v>2444</v>
      </c>
      <c r="C43" s="139">
        <v>1123030.4514000001</v>
      </c>
      <c r="D43" s="53">
        <f t="shared" si="0"/>
        <v>3542.6828119873821</v>
      </c>
    </row>
    <row r="44" spans="1:4">
      <c r="A44" s="135" t="s">
        <v>2445</v>
      </c>
      <c r="B44" s="136" t="s">
        <v>2446</v>
      </c>
      <c r="C44" s="139">
        <v>1007129.6092000002</v>
      </c>
      <c r="D44" s="53">
        <f t="shared" si="0"/>
        <v>3177.0650132492119</v>
      </c>
    </row>
    <row r="45" spans="1:4">
      <c r="A45" s="135" t="s">
        <v>2447</v>
      </c>
      <c r="B45" s="136" t="s">
        <v>2448</v>
      </c>
      <c r="C45" s="139">
        <v>1427716.4616000003</v>
      </c>
      <c r="D45" s="53">
        <f t="shared" si="0"/>
        <v>4503.8374182965308</v>
      </c>
    </row>
    <row r="46" spans="1:4">
      <c r="A46" s="135" t="s">
        <v>2449</v>
      </c>
      <c r="B46" s="136" t="s">
        <v>2450</v>
      </c>
      <c r="C46" s="139">
        <v>1690768.3078000001</v>
      </c>
      <c r="D46" s="53">
        <f t="shared" si="0"/>
        <v>5333.6539678233439</v>
      </c>
    </row>
    <row r="47" spans="1:4">
      <c r="A47" s="135" t="s">
        <v>2451</v>
      </c>
      <c r="B47" s="136" t="s">
        <v>2452</v>
      </c>
      <c r="C47" s="139">
        <v>1558025.6692000001</v>
      </c>
      <c r="D47" s="53">
        <f t="shared" si="0"/>
        <v>4914.9074738170348</v>
      </c>
    </row>
    <row r="48" spans="1:4" ht="27">
      <c r="A48" s="135" t="s">
        <v>2453</v>
      </c>
      <c r="B48" s="137" t="s">
        <v>2454</v>
      </c>
      <c r="C48" s="139">
        <v>403749.14580000006</v>
      </c>
      <c r="D48" s="53">
        <f t="shared" si="0"/>
        <v>1273.656611356467</v>
      </c>
    </row>
    <row r="49" spans="1:4">
      <c r="A49" s="135" t="s">
        <v>2455</v>
      </c>
      <c r="B49" s="136" t="s">
        <v>2456</v>
      </c>
      <c r="C49" s="139">
        <v>329895.53740000009</v>
      </c>
      <c r="D49" s="53">
        <f t="shared" si="0"/>
        <v>1040.6799287066249</v>
      </c>
    </row>
    <row r="50" spans="1:4" ht="27">
      <c r="A50" s="135" t="s">
        <v>2457</v>
      </c>
      <c r="B50" s="137" t="s">
        <v>2458</v>
      </c>
      <c r="C50" s="139">
        <v>646679.17600000009</v>
      </c>
      <c r="D50" s="53">
        <f t="shared" si="0"/>
        <v>2039.9974006309151</v>
      </c>
    </row>
    <row r="51" spans="1:4">
      <c r="A51" s="135" t="s">
        <v>2459</v>
      </c>
      <c r="B51" s="136" t="s">
        <v>2460</v>
      </c>
      <c r="C51" s="139">
        <v>555955.14260000014</v>
      </c>
      <c r="D51" s="53">
        <f t="shared" si="0"/>
        <v>1753.8017116719247</v>
      </c>
    </row>
    <row r="52" spans="1:4" ht="27">
      <c r="A52" s="135" t="s">
        <v>2461</v>
      </c>
      <c r="B52" s="137" t="s">
        <v>2462</v>
      </c>
      <c r="C52" s="139">
        <v>943680.45200000016</v>
      </c>
      <c r="D52" s="53">
        <f t="shared" si="0"/>
        <v>2976.9099432176663</v>
      </c>
    </row>
    <row r="53" spans="1:4">
      <c r="A53" s="135" t="s">
        <v>2463</v>
      </c>
      <c r="B53" s="136" t="s">
        <v>2464</v>
      </c>
      <c r="C53" s="139">
        <v>884689.17680000013</v>
      </c>
      <c r="D53" s="53">
        <f t="shared" si="0"/>
        <v>2790.8175924290226</v>
      </c>
    </row>
    <row r="54" spans="1:4">
      <c r="A54" s="17"/>
      <c r="B54" s="17"/>
      <c r="C54" s="51"/>
      <c r="D54" s="51"/>
    </row>
    <row r="55" spans="1:4">
      <c r="A55" s="17"/>
      <c r="B55" s="140" t="s">
        <v>2529</v>
      </c>
      <c r="C55" s="141"/>
      <c r="D55" s="141"/>
    </row>
    <row r="56" spans="1:4">
      <c r="A56" s="17"/>
      <c r="B56" s="142" t="s">
        <v>2466</v>
      </c>
      <c r="C56" s="143"/>
      <c r="D56" s="143"/>
    </row>
    <row r="57" spans="1:4" ht="39.6">
      <c r="A57" s="17"/>
      <c r="B57" s="144" t="s">
        <v>2467</v>
      </c>
      <c r="C57" s="147">
        <f>D57*320</f>
        <v>13632</v>
      </c>
      <c r="D57" s="145">
        <v>42.6</v>
      </c>
    </row>
    <row r="58" spans="1:4" ht="39.6">
      <c r="A58" s="17"/>
      <c r="B58" s="144" t="s">
        <v>2468</v>
      </c>
      <c r="C58" s="147">
        <f t="shared" ref="C58:C79" si="1">D58*320</f>
        <v>17376</v>
      </c>
      <c r="D58" s="145">
        <v>54.3</v>
      </c>
    </row>
    <row r="59" spans="1:4" ht="26.4">
      <c r="A59" s="17"/>
      <c r="B59" s="144" t="s">
        <v>2469</v>
      </c>
      <c r="C59" s="147">
        <f t="shared" si="1"/>
        <v>14272</v>
      </c>
      <c r="D59" s="145">
        <v>44.6</v>
      </c>
    </row>
    <row r="60" spans="1:4" ht="26.4">
      <c r="A60" s="17"/>
      <c r="B60" s="144" t="s">
        <v>2470</v>
      </c>
      <c r="C60" s="147">
        <f t="shared" si="1"/>
        <v>16544</v>
      </c>
      <c r="D60" s="145">
        <v>51.7</v>
      </c>
    </row>
    <row r="61" spans="1:4" ht="26.4">
      <c r="A61" s="17"/>
      <c r="B61" s="144" t="s">
        <v>2471</v>
      </c>
      <c r="C61" s="147">
        <f t="shared" si="1"/>
        <v>17760</v>
      </c>
      <c r="D61" s="145">
        <v>55.5</v>
      </c>
    </row>
    <row r="62" spans="1:4" ht="26.4">
      <c r="A62" s="17"/>
      <c r="B62" s="144" t="s">
        <v>2472</v>
      </c>
      <c r="C62" s="147">
        <f t="shared" si="1"/>
        <v>22016</v>
      </c>
      <c r="D62" s="145">
        <v>68.8</v>
      </c>
    </row>
    <row r="63" spans="1:4" ht="26.4">
      <c r="A63" s="17"/>
      <c r="B63" s="144" t="s">
        <v>2473</v>
      </c>
      <c r="C63" s="147">
        <f t="shared" si="1"/>
        <v>28096</v>
      </c>
      <c r="D63" s="145">
        <v>87.8</v>
      </c>
    </row>
    <row r="64" spans="1:4" ht="26.4">
      <c r="A64" s="17"/>
      <c r="B64" s="144" t="s">
        <v>2474</v>
      </c>
      <c r="C64" s="147">
        <f t="shared" si="1"/>
        <v>30176</v>
      </c>
      <c r="D64" s="145">
        <v>94.3</v>
      </c>
    </row>
    <row r="65" spans="1:4" ht="26.4">
      <c r="A65" s="17"/>
      <c r="B65" s="144" t="s">
        <v>2475</v>
      </c>
      <c r="C65" s="147">
        <f t="shared" si="1"/>
        <v>38688</v>
      </c>
      <c r="D65" s="145">
        <v>120.9</v>
      </c>
    </row>
    <row r="66" spans="1:4" ht="39.6">
      <c r="A66" s="17"/>
      <c r="B66" s="144" t="s">
        <v>2476</v>
      </c>
      <c r="C66" s="147">
        <f t="shared" si="1"/>
        <v>20864</v>
      </c>
      <c r="D66" s="145">
        <v>65.2</v>
      </c>
    </row>
    <row r="67" spans="1:4" ht="39.6">
      <c r="A67" s="17"/>
      <c r="B67" s="144" t="s">
        <v>2477</v>
      </c>
      <c r="C67" s="147">
        <f t="shared" si="1"/>
        <v>24256</v>
      </c>
      <c r="D67" s="145">
        <v>75.8</v>
      </c>
    </row>
    <row r="68" spans="1:4" ht="26.4">
      <c r="A68" s="17"/>
      <c r="B68" s="144" t="s">
        <v>2478</v>
      </c>
      <c r="C68" s="147">
        <f t="shared" si="1"/>
        <v>34016</v>
      </c>
      <c r="D68" s="145">
        <v>106.3</v>
      </c>
    </row>
    <row r="69" spans="1:4" ht="26.4">
      <c r="A69" s="17"/>
      <c r="B69" s="144" t="s">
        <v>2479</v>
      </c>
      <c r="C69" s="147">
        <f t="shared" si="1"/>
        <v>42528</v>
      </c>
      <c r="D69" s="145">
        <v>132.9</v>
      </c>
    </row>
    <row r="70" spans="1:4" ht="26.4">
      <c r="A70" s="17"/>
      <c r="B70" s="144" t="s">
        <v>2480</v>
      </c>
      <c r="C70" s="147">
        <f t="shared" si="1"/>
        <v>53632</v>
      </c>
      <c r="D70" s="145">
        <v>167.6</v>
      </c>
    </row>
    <row r="71" spans="1:4" ht="26.4">
      <c r="A71" s="17"/>
      <c r="B71" s="144" t="s">
        <v>2481</v>
      </c>
      <c r="C71" s="147">
        <f t="shared" si="1"/>
        <v>66816</v>
      </c>
      <c r="D71" s="145">
        <v>208.8</v>
      </c>
    </row>
    <row r="72" spans="1:4" ht="39.6">
      <c r="A72" s="17"/>
      <c r="B72" s="144" t="s">
        <v>2482</v>
      </c>
      <c r="C72" s="147">
        <f t="shared" si="1"/>
        <v>29376</v>
      </c>
      <c r="D72" s="145">
        <v>91.8</v>
      </c>
    </row>
    <row r="73" spans="1:4" ht="26.4">
      <c r="A73" s="17"/>
      <c r="B73" s="144" t="s">
        <v>2483</v>
      </c>
      <c r="C73" s="147">
        <f t="shared" si="1"/>
        <v>37888</v>
      </c>
      <c r="D73" s="145">
        <v>118.4</v>
      </c>
    </row>
    <row r="74" spans="1:4" ht="39.6">
      <c r="A74" s="17"/>
      <c r="B74" s="144" t="s">
        <v>2484</v>
      </c>
      <c r="C74" s="147">
        <f t="shared" si="1"/>
        <v>33632</v>
      </c>
      <c r="D74" s="145">
        <v>105.1</v>
      </c>
    </row>
    <row r="75" spans="1:4" ht="39.6">
      <c r="A75" s="17"/>
      <c r="B75" s="144" t="s">
        <v>2485</v>
      </c>
      <c r="C75" s="147">
        <f t="shared" si="1"/>
        <v>56192</v>
      </c>
      <c r="D75" s="145">
        <v>175.6</v>
      </c>
    </row>
    <row r="76" spans="1:4" ht="26.4">
      <c r="A76" s="17"/>
      <c r="B76" s="144" t="s">
        <v>2486</v>
      </c>
      <c r="C76" s="147">
        <f t="shared" si="1"/>
        <v>54912</v>
      </c>
      <c r="D76" s="145">
        <v>171.6</v>
      </c>
    </row>
    <row r="77" spans="1:4">
      <c r="A77" s="17"/>
      <c r="B77" s="142" t="s">
        <v>2487</v>
      </c>
      <c r="C77" s="146"/>
      <c r="D77" s="146"/>
    </row>
    <row r="78" spans="1:4" ht="39.6">
      <c r="A78" s="17"/>
      <c r="B78" s="144" t="s">
        <v>2488</v>
      </c>
      <c r="C78" s="147">
        <f t="shared" si="1"/>
        <v>8288</v>
      </c>
      <c r="D78" s="145">
        <v>25.9</v>
      </c>
    </row>
    <row r="79" spans="1:4" ht="39.6">
      <c r="A79" s="17"/>
      <c r="B79" s="144" t="s">
        <v>2489</v>
      </c>
      <c r="C79" s="147">
        <f t="shared" si="1"/>
        <v>9120</v>
      </c>
      <c r="D79" s="145">
        <v>28.5</v>
      </c>
    </row>
    <row r="80" spans="1:4">
      <c r="A80" s="17"/>
      <c r="B80" s="142" t="s">
        <v>2490</v>
      </c>
      <c r="C80" s="146"/>
      <c r="D80" s="146"/>
    </row>
    <row r="81" spans="1:4" ht="39.6">
      <c r="A81" s="17"/>
      <c r="B81" s="144" t="s">
        <v>2491</v>
      </c>
      <c r="C81" s="147">
        <f t="shared" ref="C81:C118" si="2">D81*320</f>
        <v>101088</v>
      </c>
      <c r="D81" s="145">
        <v>315.89999999999998</v>
      </c>
    </row>
    <row r="82" spans="1:4" ht="39.6">
      <c r="A82" s="17"/>
      <c r="B82" s="144" t="s">
        <v>2492</v>
      </c>
      <c r="C82" s="147">
        <f t="shared" si="2"/>
        <v>112320</v>
      </c>
      <c r="D82" s="145">
        <v>351</v>
      </c>
    </row>
    <row r="83" spans="1:4" ht="39.6">
      <c r="A83" s="17"/>
      <c r="B83" s="144" t="s">
        <v>2493</v>
      </c>
      <c r="C83" s="147">
        <f t="shared" si="2"/>
        <v>76960</v>
      </c>
      <c r="D83" s="145">
        <v>240.5</v>
      </c>
    </row>
    <row r="84" spans="1:4" ht="39.6">
      <c r="A84" s="17"/>
      <c r="B84" s="144" t="s">
        <v>2494</v>
      </c>
      <c r="C84" s="147">
        <f t="shared" si="2"/>
        <v>135200</v>
      </c>
      <c r="D84" s="145">
        <v>422.5</v>
      </c>
    </row>
    <row r="85" spans="1:4" ht="39.6">
      <c r="A85" s="17"/>
      <c r="B85" s="144" t="s">
        <v>2495</v>
      </c>
      <c r="C85" s="147">
        <f t="shared" si="2"/>
        <v>145600</v>
      </c>
      <c r="D85" s="145">
        <v>455</v>
      </c>
    </row>
    <row r="86" spans="1:4" ht="39.6">
      <c r="A86" s="17"/>
      <c r="B86" s="144" t="s">
        <v>2496</v>
      </c>
      <c r="C86" s="147">
        <f t="shared" si="2"/>
        <v>353600</v>
      </c>
      <c r="D86" s="145">
        <v>1105</v>
      </c>
    </row>
    <row r="87" spans="1:4" ht="39.6">
      <c r="A87" s="17"/>
      <c r="B87" s="144" t="s">
        <v>2497</v>
      </c>
      <c r="C87" s="147">
        <f t="shared" si="2"/>
        <v>428480</v>
      </c>
      <c r="D87" s="145">
        <v>1339</v>
      </c>
    </row>
    <row r="88" spans="1:4" ht="52.8">
      <c r="A88" s="17"/>
      <c r="B88" s="144" t="s">
        <v>2498</v>
      </c>
      <c r="C88" s="147">
        <f t="shared" si="2"/>
        <v>439552</v>
      </c>
      <c r="D88" s="145">
        <v>1373.6</v>
      </c>
    </row>
    <row r="89" spans="1:4" ht="52.8">
      <c r="A89" s="17"/>
      <c r="B89" s="144" t="s">
        <v>2499</v>
      </c>
      <c r="C89" s="147">
        <f t="shared" si="2"/>
        <v>510496</v>
      </c>
      <c r="D89" s="145">
        <v>1595.3</v>
      </c>
    </row>
    <row r="90" spans="1:4" ht="52.8">
      <c r="A90" s="17"/>
      <c r="B90" s="144" t="s">
        <v>2500</v>
      </c>
      <c r="C90" s="147">
        <f t="shared" si="2"/>
        <v>537472</v>
      </c>
      <c r="D90" s="145">
        <v>1679.6</v>
      </c>
    </row>
    <row r="91" spans="1:4" ht="52.8">
      <c r="A91" s="17"/>
      <c r="B91" s="144" t="s">
        <v>2501</v>
      </c>
      <c r="C91" s="147">
        <f t="shared" si="2"/>
        <v>799360</v>
      </c>
      <c r="D91" s="145">
        <v>2498</v>
      </c>
    </row>
    <row r="92" spans="1:4" ht="52.8">
      <c r="A92" s="17"/>
      <c r="B92" s="144" t="s">
        <v>2502</v>
      </c>
      <c r="C92" s="147">
        <f t="shared" si="2"/>
        <v>880000</v>
      </c>
      <c r="D92" s="145">
        <v>2750</v>
      </c>
    </row>
    <row r="93" spans="1:4" ht="52.8">
      <c r="A93" s="17"/>
      <c r="B93" s="144" t="s">
        <v>2503</v>
      </c>
      <c r="C93" s="147">
        <f t="shared" si="2"/>
        <v>1284800</v>
      </c>
      <c r="D93" s="145">
        <v>4015</v>
      </c>
    </row>
    <row r="94" spans="1:4" ht="52.8">
      <c r="A94" s="17"/>
      <c r="B94" s="144" t="s">
        <v>2504</v>
      </c>
      <c r="C94" s="147">
        <f t="shared" si="2"/>
        <v>1792000</v>
      </c>
      <c r="D94" s="145">
        <v>5600</v>
      </c>
    </row>
    <row r="95" spans="1:4" ht="39.6">
      <c r="A95" s="17"/>
      <c r="B95" s="144" t="s">
        <v>2505</v>
      </c>
      <c r="C95" s="147">
        <f t="shared" si="2"/>
        <v>1932736</v>
      </c>
      <c r="D95" s="145">
        <v>6039.8</v>
      </c>
    </row>
    <row r="96" spans="1:4" ht="39.6">
      <c r="A96" s="17"/>
      <c r="B96" s="144" t="s">
        <v>2506</v>
      </c>
      <c r="C96" s="147">
        <f t="shared" si="2"/>
        <v>2119040</v>
      </c>
      <c r="D96" s="145">
        <v>6622</v>
      </c>
    </row>
    <row r="97" spans="1:4" ht="39.6">
      <c r="A97" s="17"/>
      <c r="B97" s="144" t="s">
        <v>2507</v>
      </c>
      <c r="C97" s="147">
        <f t="shared" si="2"/>
        <v>2927808</v>
      </c>
      <c r="D97" s="145">
        <v>9149.4</v>
      </c>
    </row>
    <row r="98" spans="1:4" ht="39.6">
      <c r="A98" s="17"/>
      <c r="B98" s="144" t="s">
        <v>2508</v>
      </c>
      <c r="C98" s="147">
        <f t="shared" si="2"/>
        <v>3540160</v>
      </c>
      <c r="D98" s="145">
        <v>11063</v>
      </c>
    </row>
    <row r="99" spans="1:4" ht="39.6">
      <c r="A99" s="17"/>
      <c r="B99" s="144" t="s">
        <v>2509</v>
      </c>
      <c r="C99" s="147">
        <f t="shared" si="2"/>
        <v>5114304</v>
      </c>
      <c r="D99" s="145">
        <v>15982.2</v>
      </c>
    </row>
    <row r="100" spans="1:4">
      <c r="A100" s="17"/>
      <c r="B100" s="142" t="s">
        <v>2510</v>
      </c>
      <c r="C100" s="146"/>
      <c r="D100" s="146"/>
    </row>
    <row r="101" spans="1:4" ht="39.6">
      <c r="A101" s="17"/>
      <c r="B101" s="144" t="s">
        <v>2511</v>
      </c>
      <c r="C101" s="147">
        <f t="shared" si="2"/>
        <v>52000</v>
      </c>
      <c r="D101" s="145">
        <v>162.5</v>
      </c>
    </row>
    <row r="102" spans="1:4" ht="39.6">
      <c r="A102" s="17"/>
      <c r="B102" s="144" t="s">
        <v>2512</v>
      </c>
      <c r="C102" s="147">
        <f t="shared" si="2"/>
        <v>73632</v>
      </c>
      <c r="D102" s="145">
        <v>230.1</v>
      </c>
    </row>
    <row r="103" spans="1:4" ht="39.6">
      <c r="A103" s="17"/>
      <c r="B103" s="144" t="s">
        <v>2513</v>
      </c>
      <c r="C103" s="147">
        <f t="shared" si="2"/>
        <v>128960</v>
      </c>
      <c r="D103" s="145">
        <v>403</v>
      </c>
    </row>
    <row r="104" spans="1:4" ht="39.6">
      <c r="A104" s="17"/>
      <c r="B104" s="144" t="s">
        <v>2514</v>
      </c>
      <c r="C104" s="147">
        <f t="shared" si="2"/>
        <v>135200</v>
      </c>
      <c r="D104" s="145">
        <v>422.5</v>
      </c>
    </row>
    <row r="105" spans="1:4" ht="39.6">
      <c r="A105" s="17"/>
      <c r="B105" s="144" t="s">
        <v>2515</v>
      </c>
      <c r="C105" s="147">
        <f t="shared" si="2"/>
        <v>153920</v>
      </c>
      <c r="D105" s="145">
        <v>481</v>
      </c>
    </row>
    <row r="106" spans="1:4" ht="39.6">
      <c r="A106" s="17"/>
      <c r="B106" s="144" t="s">
        <v>2516</v>
      </c>
      <c r="C106" s="147">
        <f t="shared" si="2"/>
        <v>104000</v>
      </c>
      <c r="D106" s="145">
        <v>325</v>
      </c>
    </row>
    <row r="107" spans="1:4" ht="39.6">
      <c r="A107" s="17"/>
      <c r="B107" s="144" t="s">
        <v>2517</v>
      </c>
      <c r="C107" s="147">
        <f t="shared" si="2"/>
        <v>203840</v>
      </c>
      <c r="D107" s="145">
        <v>637</v>
      </c>
    </row>
    <row r="108" spans="1:4" ht="39.6">
      <c r="A108" s="17"/>
      <c r="B108" s="144" t="s">
        <v>2518</v>
      </c>
      <c r="C108" s="147">
        <f t="shared" si="2"/>
        <v>211744</v>
      </c>
      <c r="D108" s="145">
        <v>661.7</v>
      </c>
    </row>
    <row r="109" spans="1:4" ht="39.6">
      <c r="A109" s="17"/>
      <c r="B109" s="144" t="s">
        <v>2519</v>
      </c>
      <c r="C109" s="147">
        <f t="shared" si="2"/>
        <v>415584</v>
      </c>
      <c r="D109" s="145">
        <v>1298.7</v>
      </c>
    </row>
    <row r="110" spans="1:4" ht="39.6">
      <c r="A110" s="17"/>
      <c r="B110" s="144" t="s">
        <v>2520</v>
      </c>
      <c r="C110" s="147">
        <f t="shared" si="2"/>
        <v>498784</v>
      </c>
      <c r="D110" s="145">
        <v>1558.7</v>
      </c>
    </row>
    <row r="111" spans="1:4">
      <c r="A111" s="17"/>
      <c r="B111" s="142" t="s">
        <v>2521</v>
      </c>
      <c r="C111" s="146"/>
      <c r="D111" s="146"/>
    </row>
    <row r="112" spans="1:4" ht="39.6">
      <c r="A112" s="17"/>
      <c r="B112" s="144" t="s">
        <v>2522</v>
      </c>
      <c r="C112" s="147">
        <f t="shared" si="2"/>
        <v>1478400</v>
      </c>
      <c r="D112" s="145">
        <v>4620</v>
      </c>
    </row>
    <row r="113" spans="1:4" ht="39.6">
      <c r="A113" s="17"/>
      <c r="B113" s="144" t="s">
        <v>2523</v>
      </c>
      <c r="C113" s="147">
        <f t="shared" si="2"/>
        <v>2649600</v>
      </c>
      <c r="D113" s="145">
        <v>8280</v>
      </c>
    </row>
    <row r="114" spans="1:4" ht="39.6">
      <c r="A114" s="17"/>
      <c r="B114" s="144" t="s">
        <v>2524</v>
      </c>
      <c r="C114" s="147">
        <f t="shared" si="2"/>
        <v>4070400</v>
      </c>
      <c r="D114" s="145">
        <v>12720</v>
      </c>
    </row>
    <row r="115" spans="1:4" ht="39.6">
      <c r="A115" s="17"/>
      <c r="B115" s="144" t="s">
        <v>2525</v>
      </c>
      <c r="C115" s="147">
        <f t="shared" si="2"/>
        <v>4531200</v>
      </c>
      <c r="D115" s="145">
        <v>14160</v>
      </c>
    </row>
    <row r="116" spans="1:4">
      <c r="A116" s="17"/>
      <c r="B116" s="142" t="s">
        <v>2526</v>
      </c>
      <c r="C116" s="146"/>
      <c r="D116" s="146"/>
    </row>
    <row r="117" spans="1:4" ht="26.4">
      <c r="A117" s="17"/>
      <c r="B117" s="144" t="s">
        <v>2527</v>
      </c>
      <c r="C117" s="147">
        <f t="shared" si="2"/>
        <v>74880</v>
      </c>
      <c r="D117" s="145">
        <v>234</v>
      </c>
    </row>
    <row r="118" spans="1:4" ht="26.4">
      <c r="A118" s="17"/>
      <c r="B118" s="144" t="s">
        <v>2528</v>
      </c>
      <c r="C118" s="147">
        <f t="shared" si="2"/>
        <v>183872</v>
      </c>
      <c r="D118" s="145">
        <v>574.6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"/>
  <sheetViews>
    <sheetView workbookViewId="0">
      <selection activeCell="B32" sqref="B32"/>
    </sheetView>
  </sheetViews>
  <sheetFormatPr defaultRowHeight="14.4"/>
  <cols>
    <col min="2" max="2" width="79.6640625" customWidth="1"/>
  </cols>
  <sheetData>
    <row r="1" spans="1:3">
      <c r="A1" s="17"/>
      <c r="B1" s="17" t="s">
        <v>2070</v>
      </c>
      <c r="C1" s="56">
        <v>20000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48690335E3F45B6D32F35E393220A" ma:contentTypeVersion="0" ma:contentTypeDescription="Create a new document." ma:contentTypeScope="" ma:versionID="7bebcf5451cb4fd0a5969123f2c8bf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e49189b09f1ade3a025730c41919c3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1E2CDA-6B75-4DE0-A54B-C5B85A9BE7D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D4C71B3-9BF9-41F6-A012-E66233751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76659C8-53AD-4849-BC8F-AE95260D1E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2</vt:i4>
      </vt:variant>
    </vt:vector>
  </HeadingPairs>
  <TitlesOfParts>
    <vt:vector size="23" baseType="lpstr">
      <vt:lpstr>Полный</vt:lpstr>
      <vt:lpstr>Аналоговые телефоны</vt:lpstr>
      <vt:lpstr>Цифровые телефоны</vt:lpstr>
      <vt:lpstr>SIP телефоны</vt:lpstr>
      <vt:lpstr>IP телефоны</vt:lpstr>
      <vt:lpstr>DECT телефоны</vt:lpstr>
      <vt:lpstr>Лицензии (ключи)</vt:lpstr>
      <vt:lpstr>Программное обеспечение</vt:lpstr>
      <vt:lpstr>Основной блок АТС</vt:lpstr>
      <vt:lpstr>Платы</vt:lpstr>
      <vt:lpstr>Блоки питания</vt:lpstr>
      <vt:lpstr>Роутеры (модемы)</vt:lpstr>
      <vt:lpstr>Коммутаторы</vt:lpstr>
      <vt:lpstr>Медиаконвертеры</vt:lpstr>
      <vt:lpstr>Шкафы</vt:lpstr>
      <vt:lpstr>VoIP Шлюзы</vt:lpstr>
      <vt:lpstr>GSM-шлюзы</vt:lpstr>
      <vt:lpstr>Материалы дя монтажа</vt:lpstr>
      <vt:lpstr>Серверы</vt:lpstr>
      <vt:lpstr>UPS</vt:lpstr>
      <vt:lpstr>Работы</vt:lpstr>
      <vt:lpstr>Курс</vt:lpstr>
      <vt:lpstr>курс_рубля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Alexandr Murdassov</cp:lastModifiedBy>
  <dcterms:created xsi:type="dcterms:W3CDTF">2016-11-08T03:22:26Z</dcterms:created>
  <dcterms:modified xsi:type="dcterms:W3CDTF">2025-12-02T08:01:46Z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2025-12-02T08:01:46Z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d2bd948e-a96b-4fd2-95fa-19fae053da9d</vt:lpwstr>
  </property>
  <property fmtid="{D5CDD505-2E9C-101B-9397-08002B2CF9AE}" pid="9" name="MSIP_Label_9cdd97af-22dc-49fa-ac47-e24224ce56c4_ContentBits">
    <vt:lpwstr>0</vt:lpwstr>
  </property>
</Properties>
</file>