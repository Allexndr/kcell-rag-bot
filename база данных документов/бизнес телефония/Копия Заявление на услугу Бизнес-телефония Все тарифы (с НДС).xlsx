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8F3F0470-BDC2-458F-A564-151CF9AAC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 Бизнес-телефония" sheetId="1" r:id="rId1"/>
    <sheet name="Sheet2" sheetId="2" state="hidden" r:id="rId2"/>
  </sheets>
  <definedNames>
    <definedName name="_xlnm.Print_Area" localSheetId="0">'Заявление Бизнес-телефония'!$C$1:$L$57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34" i="1"/>
  <c r="H32" i="1" l="1"/>
  <c r="H27" i="1" l="1"/>
  <c r="H36" i="1" s="1"/>
  <c r="H33" i="1"/>
  <c r="H31" i="1" l="1"/>
  <c r="H30" i="1"/>
  <c r="H28" i="1"/>
  <c r="D37" i="1"/>
</calcChain>
</file>

<file path=xl/sharedStrings.xml><?xml version="1.0" encoding="utf-8"?>
<sst xmlns="http://schemas.openxmlformats.org/spreadsheetml/2006/main" count="153" uniqueCount="89">
  <si>
    <t>Данное письмо подлежит исполнению на фирменном бланке Вашей компании</t>
  </si>
  <si>
    <t>оборудования</t>
  </si>
  <si>
    <t>(указать адрес расположения оборудования)</t>
  </si>
  <si>
    <t>,</t>
  </si>
  <si>
    <t xml:space="preserve">Ф.И.О  Руководителя </t>
  </si>
  <si>
    <t>МП(оригинал)</t>
  </si>
  <si>
    <t xml:space="preserve">Исх.№ </t>
  </si>
  <si>
    <t xml:space="preserve">Дата </t>
  </si>
  <si>
    <t>по протоколу SIP через сеть Интернет</t>
  </si>
  <si>
    <t>(выберите из списка)</t>
  </si>
  <si>
    <t>(указать производителя, модель АТС или иного оборудования)</t>
  </si>
  <si>
    <t>Количество подключаемых виртуальных номеров:</t>
  </si>
  <si>
    <t>находящееся по следующему адресу:</t>
  </si>
  <si>
    <t>(указать количество номеров)</t>
  </si>
  <si>
    <t>(контактный телефон)</t>
  </si>
  <si>
    <t>(e-mail)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</si>
  <si>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</si>
  <si>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</si>
  <si>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</si>
  <si>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</si>
  <si>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</si>
  <si>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</si>
  <si>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</si>
  <si>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</si>
  <si>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</si>
  <si>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На других операторов РК, за 1 минуту</t>
  </si>
  <si>
    <t>На городские номера РК, за 1 минуту</t>
  </si>
  <si>
    <t xml:space="preserve">Стоимость,  
тенге с НДС </t>
  </si>
  <si>
    <t>тенге</t>
  </si>
  <si>
    <t>минут</t>
  </si>
  <si>
    <t>Другой</t>
  </si>
  <si>
    <t>(укажите)</t>
  </si>
  <si>
    <t>Доступ на международные направления:</t>
  </si>
  <si>
    <t>Открыть</t>
  </si>
  <si>
    <t>Закрыть</t>
  </si>
  <si>
    <t>(подпись)</t>
  </si>
  <si>
    <t>Заявление на подключение услуги «Бизнес-телефония»</t>
  </si>
  <si>
    <t>(фамилия, имя)</t>
  </si>
  <si>
    <t>Подключаемый тарифный план*</t>
  </si>
  <si>
    <r>
      <t>Просим Вас подключить услугу</t>
    </r>
    <r>
      <rPr>
        <b/>
        <sz val="10"/>
        <color theme="1"/>
        <rFont val="Arial"/>
        <family val="2"/>
        <charset val="204"/>
      </rPr>
      <t xml:space="preserve"> «Бизнес-телефония» </t>
    </r>
    <r>
      <rPr>
        <sz val="10"/>
        <color theme="1"/>
        <rFont val="Arial"/>
        <family val="2"/>
        <charset val="204"/>
      </rPr>
      <t>(Далее - Услуга)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для совершения и приема звонков с нашего </t>
    </r>
  </si>
  <si>
    <t>Компания</t>
  </si>
  <si>
    <t>БИН:</t>
  </si>
  <si>
    <t>Юридическое название:</t>
  </si>
  <si>
    <t>IBAN:</t>
  </si>
  <si>
    <t>SWIFT:</t>
  </si>
  <si>
    <t>Кбе:</t>
  </si>
  <si>
    <t>Название банка:</t>
  </si>
  <si>
    <t>Свидетельство о постановке на учет НДС:</t>
  </si>
  <si>
    <t>Адрес для отправки оригиналов счет-фактур:</t>
  </si>
  <si>
    <t>(Пример: ТОО "ABC")</t>
  </si>
  <si>
    <t>(12 цифр)</t>
  </si>
  <si>
    <t>(KZ и 18 цифр)</t>
  </si>
  <si>
    <t>(8 букв)</t>
  </si>
  <si>
    <t>(число)</t>
  </si>
  <si>
    <t>(Пример: АО «Казкоммерцбанк», г.Алматы)</t>
  </si>
  <si>
    <t>(Город, район, улица, номер дома, офис)</t>
  </si>
  <si>
    <t>Банковские реквизиты:</t>
  </si>
  <si>
    <t>(указать,если есть св-во НДС)</t>
  </si>
  <si>
    <t>Ежемесячная абонентская плата**</t>
  </si>
  <si>
    <t>Бизнес пакет 30</t>
  </si>
  <si>
    <t>Бизнес пакет 50</t>
  </si>
  <si>
    <t>Ежемесячный пакет минут для звонков на номера всех сотовых операторов по Казахстану***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</si>
  <si>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</si>
  <si>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Технический специалист с нашей стороны (ответственный по техническим вопросам):</t>
  </si>
  <si>
    <t>Контактное лицо с нашей стороны (для получения счет фактур и детализации):</t>
  </si>
  <si>
    <t>Директору Департамента по развитию бизнес рынка</t>
  </si>
  <si>
    <t>Юридический адрес:</t>
  </si>
  <si>
    <t>(Пример: г. Алматы, ул. Тимирязева 2Г)</t>
  </si>
  <si>
    <t>закрыт</t>
  </si>
  <si>
    <t>Стартовый 10</t>
  </si>
  <si>
    <t>Количество виртуальных номеров</t>
  </si>
  <si>
    <t>Количество вх/исх сессий</t>
  </si>
  <si>
    <t>Итоговая АП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</si>
  <si>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</si>
  <si>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</si>
  <si>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</si>
  <si>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</si>
  <si>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</si>
  <si>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</si>
  <si>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</si>
  <si>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</si>
  <si>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</si>
  <si>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</si>
  <si>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</si>
  <si>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Бизнес пакет 2MLN</t>
  </si>
  <si>
    <t>Г-ну (ФИО)</t>
  </si>
  <si>
    <t xml:space="preserve">Подписав настоящее заявление, соглашаемся с тем, что:
1) С шаблоном договора об оказании услуги и следующими приложениями к договору ознакомлены и согласны:
- Приложение 1 - Схема подключения и Технические условия
- Приложение 2 - Тарифный план
2) Данным подтверждаем, что не являемся оператором связи и не намерены оказывать услуги связи третьим лицам, используя оказываемую услугу "Бизнес-телефония". Гарантируем недопущение пропуска несанкционированного трафика и неразглашение идентификационных данных, необходимых для подключения к услуге, а также согласны нести ответственность в соответствии с договором и законодательством.
3) Для заключения договора обязуемся предоставить копии следующих документов:
- Устав,
- Свидетельство или справка о государственной регистрации юридического лица,
- Свидетельство по НДС,
- Решение (Протокол или выписка) участников о назначении первого руководителя,
- Доверенность (если уполномоченное лицо действует на основании доверенности).
4) Гарантируем своевременную оплату Услуги согласно выставляемых счетов.
5) В случае изменении контактных лиц, указанных в Заявлении, обязуемся проинформировать Оператора в течении 5 рабочих дней.
</t>
  </si>
  <si>
    <t>Бизнес пакет 75</t>
  </si>
  <si>
    <t>Бизнес пакет 4MLN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</si>
</sst>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u/>
      <sz val="10"/>
      <color theme="1" tint="0.34998626667073579"/>
      <name val="Arial"/>
      <family val="2"/>
      <charset val="204"/>
    </font>
    <font>
      <b/>
      <i/>
      <sz val="10"/>
      <color theme="1" tint="0.34998626667073579"/>
      <name val="Arial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/>
    <xf numFmtId="0" fontId="0" fillId="2" borderId="0" xfId="0" applyFill="1"/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/>
    <xf numFmtId="0" fontId="6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2" borderId="0" xfId="0" applyFont="1" applyFill="1" applyAlignment="1" applyProtection="1">
      <alignment horizontal="right" vertical="center"/>
      <protection locked="0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8" fillId="3" borderId="1" xfId="0" applyFont="1" applyFill="1" applyBorder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11" fillId="2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3" fillId="2" borderId="0" xfId="0" applyFont="1" applyFill="1" applyAlignment="1">
      <alignment horizontal="center"/>
    </xf>
    <xf numFmtId="0" fontId="8" fillId="3" borderId="1" xfId="0" applyFont="1" applyFill="1" applyBorder="1" applyAlignment="1" applyProtection="1">
      <alignment horizontal="center" wrapText="1"/>
      <protection locked="0"/>
    </xf>
    <xf numFmtId="0" fontId="3" fillId="2" borderId="0" xfId="0" applyFont="1" applyFill="1" applyAlignment="1">
      <alignment horizontal="left"/>
    </xf>
    <xf numFmtId="0" fontId="8" fillId="3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left" vertical="center"/>
    </xf>
    <xf numFmtId="49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horizontal="left" wrapText="1"/>
      <protection locked="0"/>
    </xf>
    <xf numFmtId="0" fontId="8" fillId="3" borderId="6" xfId="0" applyFont="1" applyFill="1" applyBorder="1" applyAlignment="1" applyProtection="1">
      <alignment horizontal="left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12" fillId="3" borderId="1" xfId="0" applyFont="1" applyFill="1" applyBorder="1" applyAlignment="1" applyProtection="1">
      <alignment horizontal="center" wrapText="1"/>
      <protection locked="0"/>
    </xf>
    <xf numFmtId="0" fontId="5" fillId="2" borderId="1" xfId="0" applyFont="1" applyFill="1" applyBorder="1" applyAlignment="1">
      <alignment horizontal="right" wrapText="1"/>
    </xf>
    <xf numFmtId="0" fontId="8" fillId="3" borderId="0" xfId="0" applyFont="1" applyFill="1" applyAlignment="1" applyProtection="1">
      <alignment horizontal="center" wrapText="1"/>
      <protection locked="0"/>
    </xf>
    <xf numFmtId="0" fontId="11" fillId="3" borderId="0" xfId="0" applyFont="1" applyFill="1" applyAlignment="1" applyProtection="1">
      <alignment horizontal="center" wrapText="1"/>
      <protection locked="0"/>
    </xf>
    <xf numFmtId="0" fontId="4" fillId="2" borderId="2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/>
    <xf numFmtId="0" fontId="0" fillId="2" borderId="0" xfId="0" applyFill="1" applyAlignment="1">
      <alignment horizontal="center"/>
    </xf>
    <xf numFmtId="1" fontId="3" fillId="2" borderId="5" xfId="0" applyNumberFormat="1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right"/>
    </xf>
    <xf numFmtId="0" fontId="5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9" fillId="3" borderId="1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57"/>
  <sheetViews>
    <sheetView tabSelected="1" view="pageBreakPreview" topLeftCell="A18" zoomScaleNormal="100" zoomScaleSheetLayoutView="100" zoomScalePageLayoutView="130" workbookViewId="0">
      <selection activeCell="K28" sqref="K28"/>
    </sheetView>
  </sheetViews>
  <sheetFormatPr defaultRowHeight="14.4" x14ac:dyDescent="0.3"/>
  <cols>
    <col min="3" max="3" width="13.33203125" customWidth="1"/>
    <col min="4" max="4" width="6.44140625" customWidth="1"/>
    <col min="7" max="7" width="14.6640625" customWidth="1"/>
    <col min="8" max="8" width="15.88671875" customWidth="1"/>
    <col min="9" max="9" width="9.109375" customWidth="1"/>
    <col min="10" max="10" width="14.33203125" customWidth="1"/>
    <col min="11" max="11" width="5.44140625" customWidth="1"/>
  </cols>
  <sheetData>
    <row r="1" spans="3:12" x14ac:dyDescent="0.3">
      <c r="C1" s="34" t="s">
        <v>0</v>
      </c>
      <c r="D1" s="34"/>
      <c r="E1" s="34"/>
      <c r="F1" s="34"/>
      <c r="G1" s="34"/>
      <c r="H1" s="34"/>
      <c r="I1" s="34"/>
      <c r="J1" s="34"/>
      <c r="K1" s="34"/>
      <c r="L1" s="34"/>
    </row>
    <row r="2" spans="3:12" x14ac:dyDescent="0.3">
      <c r="C2" s="35" t="s">
        <v>36</v>
      </c>
      <c r="D2" s="35"/>
      <c r="E2" s="35"/>
      <c r="F2" s="35"/>
      <c r="G2" s="35"/>
      <c r="H2" s="35"/>
      <c r="I2" s="35"/>
      <c r="J2" s="35"/>
      <c r="K2" s="35"/>
      <c r="L2" s="35"/>
    </row>
    <row r="3" spans="3:12" x14ac:dyDescent="0.3">
      <c r="C3" s="2"/>
      <c r="D3" s="2"/>
      <c r="E3" s="2"/>
      <c r="F3" s="2"/>
      <c r="G3" s="2"/>
      <c r="H3" s="2"/>
      <c r="I3" s="2"/>
      <c r="J3" s="2"/>
      <c r="K3" s="2"/>
      <c r="L3" s="2"/>
    </row>
    <row r="4" spans="3:12" x14ac:dyDescent="0.3">
      <c r="C4" s="2"/>
      <c r="D4" s="2"/>
      <c r="E4" s="2"/>
      <c r="F4" s="2"/>
      <c r="G4" s="2"/>
      <c r="H4" s="2"/>
      <c r="I4" s="2"/>
      <c r="J4" s="2"/>
      <c r="K4" s="2"/>
      <c r="L4" s="2"/>
    </row>
    <row r="5" spans="3:12" x14ac:dyDescent="0.3">
      <c r="C5" s="2"/>
      <c r="D5" s="2"/>
      <c r="E5" s="2"/>
      <c r="F5" s="2"/>
      <c r="G5" s="2"/>
      <c r="H5" s="2"/>
      <c r="I5" s="2"/>
      <c r="J5" s="2"/>
      <c r="K5" s="2"/>
      <c r="L5" s="2"/>
    </row>
    <row r="6" spans="3:12" x14ac:dyDescent="0.3">
      <c r="C6" s="2"/>
      <c r="D6" s="2"/>
      <c r="E6" s="2"/>
      <c r="F6" s="2"/>
      <c r="G6" s="2"/>
      <c r="H6" s="2"/>
      <c r="I6" s="2"/>
      <c r="J6" s="2"/>
      <c r="K6" s="2"/>
      <c r="L6" s="2"/>
    </row>
    <row r="7" spans="3:12" x14ac:dyDescent="0.3">
      <c r="C7" s="11" t="s">
        <v>6</v>
      </c>
      <c r="D7" s="40" t="s">
        <v>31</v>
      </c>
      <c r="E7" s="40"/>
      <c r="F7" s="5"/>
      <c r="G7" s="5"/>
      <c r="H7" s="5"/>
      <c r="I7" s="5"/>
      <c r="J7" s="5"/>
      <c r="K7" s="5"/>
      <c r="L7" s="5"/>
    </row>
    <row r="8" spans="3:12" x14ac:dyDescent="0.3">
      <c r="C8" s="11" t="s">
        <v>7</v>
      </c>
      <c r="D8" s="40" t="s">
        <v>31</v>
      </c>
      <c r="E8" s="40"/>
      <c r="F8" s="5"/>
      <c r="G8" s="5"/>
      <c r="H8" s="5"/>
      <c r="I8" s="5"/>
      <c r="J8" s="5"/>
      <c r="K8" s="5"/>
      <c r="L8" s="5"/>
    </row>
    <row r="9" spans="3:12" ht="15" customHeight="1" x14ac:dyDescent="0.3">
      <c r="C9" s="5"/>
      <c r="D9" s="5"/>
      <c r="E9" s="5"/>
      <c r="F9" s="5"/>
      <c r="G9" s="5"/>
      <c r="H9" s="5"/>
      <c r="I9" s="37" t="s">
        <v>65</v>
      </c>
      <c r="J9" s="37"/>
      <c r="K9" s="37"/>
      <c r="L9" s="5"/>
    </row>
    <row r="10" spans="3:12" ht="15" customHeight="1" x14ac:dyDescent="0.3">
      <c r="C10" s="4"/>
      <c r="D10" s="5"/>
      <c r="E10" s="5"/>
      <c r="F10" s="5"/>
      <c r="G10" s="5"/>
      <c r="H10" s="5"/>
      <c r="I10" s="37"/>
      <c r="J10" s="37"/>
      <c r="K10" s="37"/>
      <c r="L10" s="5"/>
    </row>
    <row r="11" spans="3:12" x14ac:dyDescent="0.3">
      <c r="C11" s="4"/>
      <c r="D11" s="5"/>
      <c r="E11" s="5"/>
      <c r="F11" s="5"/>
      <c r="G11" s="5"/>
      <c r="H11" s="5"/>
      <c r="I11" s="37"/>
      <c r="J11" s="37"/>
      <c r="K11" s="37"/>
      <c r="L11" s="5"/>
    </row>
    <row r="12" spans="3:12" x14ac:dyDescent="0.3">
      <c r="C12" s="5"/>
      <c r="D12" s="5"/>
      <c r="E12" s="5"/>
      <c r="F12" s="5"/>
      <c r="G12" s="5"/>
      <c r="H12" s="5"/>
      <c r="I12" s="37"/>
      <c r="J12" s="37"/>
      <c r="K12" s="37"/>
      <c r="L12" s="5"/>
    </row>
    <row r="13" spans="3:12" x14ac:dyDescent="0.3">
      <c r="C13" s="5"/>
      <c r="D13" s="5"/>
      <c r="E13" s="5"/>
      <c r="F13" s="5"/>
      <c r="G13" s="5"/>
      <c r="H13" s="5"/>
      <c r="I13" s="5" t="s">
        <v>85</v>
      </c>
      <c r="J13" s="5"/>
      <c r="K13" s="5"/>
      <c r="L13" s="5"/>
    </row>
    <row r="14" spans="3:12" x14ac:dyDescent="0.3"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3:12" x14ac:dyDescent="0.3"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3:12" x14ac:dyDescent="0.3"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3:12" ht="15" customHeight="1" x14ac:dyDescent="0.3">
      <c r="C17" s="36" t="s">
        <v>39</v>
      </c>
      <c r="D17" s="36"/>
      <c r="E17" s="36"/>
      <c r="F17" s="36"/>
      <c r="G17" s="36"/>
      <c r="H17" s="36"/>
      <c r="I17" s="36"/>
      <c r="J17" s="36"/>
      <c r="K17" s="36"/>
      <c r="L17" s="36"/>
    </row>
    <row r="18" spans="3:12" ht="15" customHeight="1" x14ac:dyDescent="0.3">
      <c r="C18" s="37" t="s">
        <v>1</v>
      </c>
      <c r="D18" s="37"/>
      <c r="E18" s="26" t="s">
        <v>10</v>
      </c>
      <c r="F18" s="26"/>
      <c r="G18" s="26"/>
      <c r="H18" s="26"/>
      <c r="I18" s="26"/>
      <c r="J18" s="26"/>
      <c r="K18" s="26"/>
      <c r="L18" s="6" t="s">
        <v>3</v>
      </c>
    </row>
    <row r="19" spans="3:12" ht="15" customHeight="1" x14ac:dyDescent="0.3">
      <c r="C19" s="37" t="s">
        <v>12</v>
      </c>
      <c r="D19" s="37"/>
      <c r="E19" s="37"/>
      <c r="F19" s="37"/>
      <c r="G19" s="26" t="s">
        <v>2</v>
      </c>
      <c r="H19" s="26"/>
      <c r="I19" s="26"/>
      <c r="J19" s="26"/>
      <c r="K19" s="26"/>
      <c r="L19" s="26"/>
    </row>
    <row r="20" spans="3:12" x14ac:dyDescent="0.3">
      <c r="C20" s="27" t="s">
        <v>11</v>
      </c>
      <c r="D20" s="27"/>
      <c r="E20" s="27"/>
      <c r="F20" s="27"/>
      <c r="G20" s="27"/>
      <c r="H20" s="58" t="s">
        <v>13</v>
      </c>
      <c r="I20" s="58"/>
      <c r="J20" s="58"/>
      <c r="K20" s="5"/>
      <c r="L20" s="5"/>
    </row>
    <row r="21" spans="3:12" x14ac:dyDescent="0.3">
      <c r="C21" s="27" t="s">
        <v>63</v>
      </c>
      <c r="D21" s="27"/>
      <c r="E21" s="27"/>
      <c r="F21" s="27"/>
      <c r="G21" s="27"/>
      <c r="H21" s="27"/>
      <c r="I21" s="27"/>
      <c r="J21" s="27"/>
      <c r="K21" s="27"/>
      <c r="L21" s="27"/>
    </row>
    <row r="22" spans="3:12" x14ac:dyDescent="0.3">
      <c r="C22" s="43" t="s">
        <v>37</v>
      </c>
      <c r="D22" s="43"/>
      <c r="E22" s="43"/>
      <c r="F22" s="5"/>
      <c r="G22" s="43" t="s">
        <v>14</v>
      </c>
      <c r="H22" s="43"/>
      <c r="I22" s="5"/>
      <c r="J22" s="44" t="s">
        <v>15</v>
      </c>
      <c r="K22" s="44"/>
      <c r="L22" s="44"/>
    </row>
    <row r="23" spans="3:12" x14ac:dyDescent="0.3">
      <c r="C23" s="27" t="s">
        <v>64</v>
      </c>
      <c r="D23" s="27"/>
      <c r="E23" s="27"/>
      <c r="F23" s="27"/>
      <c r="G23" s="27"/>
      <c r="H23" s="27"/>
      <c r="I23" s="27"/>
      <c r="J23" s="27"/>
      <c r="K23" s="27"/>
      <c r="L23" s="27"/>
    </row>
    <row r="24" spans="3:12" ht="15.75" customHeight="1" x14ac:dyDescent="0.3">
      <c r="C24" s="43" t="s">
        <v>37</v>
      </c>
      <c r="D24" s="43"/>
      <c r="E24" s="43"/>
      <c r="F24" s="5"/>
      <c r="G24" s="43" t="s">
        <v>14</v>
      </c>
      <c r="H24" s="43"/>
      <c r="I24" s="5"/>
      <c r="J24" s="44" t="s">
        <v>15</v>
      </c>
      <c r="K24" s="44"/>
      <c r="L24" s="44"/>
    </row>
    <row r="25" spans="3:12" ht="15.75" customHeight="1" x14ac:dyDescent="0.3">
      <c r="C25" s="18"/>
      <c r="D25" s="18"/>
      <c r="E25" s="18"/>
      <c r="F25" s="5"/>
      <c r="G25" s="18"/>
      <c r="H25" s="18"/>
      <c r="I25" s="5"/>
      <c r="J25" s="19"/>
      <c r="K25" s="19"/>
      <c r="L25" s="19"/>
    </row>
    <row r="26" spans="3:12" x14ac:dyDescent="0.3">
      <c r="C26" s="7"/>
      <c r="D26" s="42" t="s">
        <v>38</v>
      </c>
      <c r="E26" s="42"/>
      <c r="F26" s="42"/>
      <c r="G26" s="42"/>
      <c r="H26" s="41" t="s">
        <v>69</v>
      </c>
      <c r="I26" s="41"/>
      <c r="J26" s="8"/>
      <c r="K26" s="5"/>
      <c r="L26" s="5"/>
    </row>
    <row r="27" spans="3:12" x14ac:dyDescent="0.3">
      <c r="C27" s="5"/>
      <c r="D27" s="47" t="s">
        <v>58</v>
      </c>
      <c r="E27" s="47"/>
      <c r="F27" s="47"/>
      <c r="G27" s="47"/>
      <c r="H27" s="50">
        <f>VLOOKUP(H26,Sheet2!$B$2:$J$19,9,0)</f>
        <v>10000</v>
      </c>
      <c r="I27" s="53"/>
      <c r="J27" s="3" t="s">
        <v>28</v>
      </c>
      <c r="K27" s="5"/>
      <c r="L27" s="5"/>
    </row>
    <row r="28" spans="3:12" ht="39" customHeight="1" x14ac:dyDescent="0.3">
      <c r="C28" s="5"/>
      <c r="D28" s="48" t="s">
        <v>61</v>
      </c>
      <c r="E28" s="48"/>
      <c r="F28" s="48"/>
      <c r="G28" s="48"/>
      <c r="H28" s="38">
        <f>VLOOKUP(H26,Sheet2!$B$2:$J$19,2,0)</f>
        <v>1250</v>
      </c>
      <c r="I28" s="39"/>
      <c r="J28" s="3" t="s">
        <v>29</v>
      </c>
      <c r="K28" s="5"/>
      <c r="L28" s="5"/>
    </row>
    <row r="29" spans="3:12" ht="29.25" customHeight="1" x14ac:dyDescent="0.3">
      <c r="C29" s="10"/>
      <c r="D29" s="49" t="s">
        <v>20</v>
      </c>
      <c r="E29" s="49"/>
      <c r="F29" s="49"/>
      <c r="G29" s="49"/>
      <c r="H29" s="56" t="s">
        <v>27</v>
      </c>
      <c r="I29" s="56"/>
      <c r="J29" s="9" t="s">
        <v>21</v>
      </c>
      <c r="K29" s="10"/>
      <c r="L29" s="5"/>
    </row>
    <row r="30" spans="3:12" x14ac:dyDescent="0.3">
      <c r="C30" s="5"/>
      <c r="D30" s="47" t="s">
        <v>24</v>
      </c>
      <c r="E30" s="47"/>
      <c r="F30" s="47"/>
      <c r="G30" s="47"/>
      <c r="H30" s="38">
        <f>VLOOKUP(H26,Sheet2!$B$2:$J$19,3,0)</f>
        <v>11</v>
      </c>
      <c r="I30" s="39"/>
      <c r="J30" s="3" t="s">
        <v>23</v>
      </c>
      <c r="K30" s="5"/>
      <c r="L30" s="5"/>
    </row>
    <row r="31" spans="3:12" x14ac:dyDescent="0.3">
      <c r="C31" s="5"/>
      <c r="D31" s="47" t="s">
        <v>22</v>
      </c>
      <c r="E31" s="47"/>
      <c r="F31" s="47"/>
      <c r="G31" s="47"/>
      <c r="H31" s="38">
        <f>VLOOKUP(H26,Sheet2!$B$2:$J$19,4,0)</f>
        <v>11</v>
      </c>
      <c r="I31" s="39"/>
      <c r="J31" s="3" t="s">
        <v>23</v>
      </c>
      <c r="K31" s="5"/>
      <c r="L31" s="25"/>
    </row>
    <row r="32" spans="3:12" x14ac:dyDescent="0.3">
      <c r="C32" s="5"/>
      <c r="D32" s="47" t="s">
        <v>25</v>
      </c>
      <c r="E32" s="47"/>
      <c r="F32" s="47"/>
      <c r="G32" s="47"/>
      <c r="H32" s="38">
        <f>VLOOKUP(H26,Sheet2!$B$2:$J$19,5,0)</f>
        <v>11</v>
      </c>
      <c r="I32" s="39"/>
      <c r="J32" s="3" t="s">
        <v>23</v>
      </c>
      <c r="K32" s="5"/>
      <c r="L32" s="5"/>
    </row>
    <row r="33" spans="3:12" x14ac:dyDescent="0.3">
      <c r="C33" s="5"/>
      <c r="D33" s="47" t="s">
        <v>26</v>
      </c>
      <c r="E33" s="47"/>
      <c r="F33" s="47"/>
      <c r="G33" s="47"/>
      <c r="H33" s="38">
        <f>VLOOKUP(H26,Sheet2!$B$2:$J$19,6,0)</f>
        <v>17</v>
      </c>
      <c r="I33" s="39"/>
      <c r="J33" s="3" t="s">
        <v>23</v>
      </c>
      <c r="K33" s="5"/>
      <c r="L33" s="5"/>
    </row>
    <row r="34" spans="3:12" x14ac:dyDescent="0.3">
      <c r="C34" s="5"/>
      <c r="D34" s="59" t="s">
        <v>70</v>
      </c>
      <c r="E34" s="60"/>
      <c r="F34" s="60"/>
      <c r="G34" s="61"/>
      <c r="H34" s="38">
        <f>VLOOKUP(H26,Sheet2!$B$2:$H$19,7,0)</f>
        <v>5</v>
      </c>
      <c r="I34" s="39"/>
      <c r="J34" s="3"/>
      <c r="K34" s="5"/>
      <c r="L34" s="5"/>
    </row>
    <row r="35" spans="3:12" x14ac:dyDescent="0.3">
      <c r="C35" s="5"/>
      <c r="D35" s="59" t="s">
        <v>71</v>
      </c>
      <c r="E35" s="60"/>
      <c r="F35" s="60"/>
      <c r="G35" s="61"/>
      <c r="H35" s="38">
        <f>VLOOKUP(H26,Sheet2!$B$2:$I$19,8,0)</f>
        <v>10</v>
      </c>
      <c r="I35" s="39"/>
      <c r="J35" s="3"/>
      <c r="K35" s="5"/>
      <c r="L35" s="5"/>
    </row>
    <row r="36" spans="3:12" x14ac:dyDescent="0.3">
      <c r="C36" s="5"/>
      <c r="D36" s="47" t="s">
        <v>72</v>
      </c>
      <c r="E36" s="47"/>
      <c r="F36" s="47"/>
      <c r="G36" s="47"/>
      <c r="H36" s="50">
        <f>H27+IF($H$34&lt;=VLOOKUP($H$26,Sheet2!$B$2:$J$19,7,0),0,($H$34-VLOOKUP($H$26,Sheet2!$B$2:$J$19,7,0))*1000)+IF($H$35&lt;=VLOOKUP($H$26,Sheet2!$B$2:$J$19,8,0),0,((EVEN($H$35)-VLOOKUP($H$26,Sheet2!$B$2:$J$19,8,0))*500))</f>
        <v>10000</v>
      </c>
      <c r="I36" s="39"/>
      <c r="J36" s="3" t="s">
        <v>28</v>
      </c>
      <c r="K36" s="5"/>
      <c r="L36" s="5"/>
    </row>
    <row r="37" spans="3:12" ht="99" customHeight="1" x14ac:dyDescent="0.3">
      <c r="C37" s="2"/>
      <c r="D37" s="54" t="str">
        <f>IF(H27&gt;0,Sheet2!K4,"")</f>
        <v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v>
      </c>
      <c r="E37" s="54"/>
      <c r="F37" s="54"/>
      <c r="G37" s="54"/>
      <c r="H37" s="54"/>
      <c r="I37" s="54"/>
      <c r="J37" s="54"/>
      <c r="K37" s="2"/>
      <c r="L37" s="2"/>
    </row>
    <row r="38" spans="3:12" ht="21.75" customHeight="1" x14ac:dyDescent="0.3">
      <c r="C38" s="2"/>
      <c r="D38" s="29" t="s">
        <v>32</v>
      </c>
      <c r="E38" s="29"/>
      <c r="F38" s="29"/>
      <c r="G38" s="29"/>
      <c r="H38" s="29" t="s">
        <v>68</v>
      </c>
      <c r="I38" s="29"/>
      <c r="J38" s="29"/>
      <c r="K38" s="29"/>
      <c r="L38" s="2"/>
    </row>
    <row r="39" spans="3:12" ht="3" customHeight="1" x14ac:dyDescent="0.3">
      <c r="C39" s="27"/>
      <c r="D39" s="27"/>
      <c r="E39" s="27"/>
      <c r="F39" s="27"/>
      <c r="G39" s="27"/>
      <c r="H39" s="27"/>
      <c r="I39" s="27"/>
      <c r="J39" s="2"/>
      <c r="K39" s="2"/>
      <c r="L39" s="2"/>
    </row>
    <row r="40" spans="3:12" x14ac:dyDescent="0.3">
      <c r="C40" s="16"/>
      <c r="D40" s="57" t="s">
        <v>56</v>
      </c>
      <c r="E40" s="57"/>
      <c r="F40" s="57"/>
      <c r="G40" s="57"/>
      <c r="H40" s="57"/>
      <c r="I40" s="57"/>
      <c r="J40" s="57"/>
      <c r="K40" s="2"/>
      <c r="L40" s="2"/>
    </row>
    <row r="41" spans="3:12" ht="13.5" customHeight="1" x14ac:dyDescent="0.3">
      <c r="C41" s="16"/>
      <c r="D41" s="27" t="s">
        <v>42</v>
      </c>
      <c r="E41" s="27"/>
      <c r="F41" s="27"/>
      <c r="G41" s="32" t="s">
        <v>49</v>
      </c>
      <c r="H41" s="32"/>
      <c r="I41" s="32"/>
      <c r="J41" s="32"/>
    </row>
    <row r="42" spans="3:12" x14ac:dyDescent="0.3">
      <c r="C42" s="16"/>
      <c r="D42" s="16" t="s">
        <v>66</v>
      </c>
      <c r="E42" s="16"/>
      <c r="F42" s="16"/>
      <c r="G42" s="33" t="s">
        <v>67</v>
      </c>
      <c r="H42" s="33"/>
      <c r="I42" s="33"/>
      <c r="J42" s="33"/>
    </row>
    <row r="43" spans="3:12" x14ac:dyDescent="0.3">
      <c r="C43" s="16"/>
      <c r="D43" s="5" t="s">
        <v>41</v>
      </c>
      <c r="E43" s="30" t="s">
        <v>50</v>
      </c>
      <c r="F43" s="30"/>
      <c r="G43" s="30"/>
      <c r="H43" s="5"/>
      <c r="I43" s="16"/>
      <c r="J43" s="2"/>
      <c r="K43" s="2"/>
      <c r="L43" s="2"/>
    </row>
    <row r="44" spans="3:12" x14ac:dyDescent="0.3">
      <c r="C44" s="16"/>
      <c r="D44" s="5" t="s">
        <v>43</v>
      </c>
      <c r="E44" s="31" t="s">
        <v>51</v>
      </c>
      <c r="F44" s="31"/>
      <c r="G44" s="31"/>
      <c r="H44" s="5"/>
      <c r="I44" s="16"/>
      <c r="J44" s="2"/>
      <c r="K44" s="2"/>
      <c r="L44" s="2"/>
    </row>
    <row r="45" spans="3:12" x14ac:dyDescent="0.3">
      <c r="C45" s="16"/>
      <c r="D45" s="5" t="s">
        <v>44</v>
      </c>
      <c r="E45" s="28" t="s">
        <v>52</v>
      </c>
      <c r="F45" s="28"/>
      <c r="G45" s="5"/>
      <c r="H45" s="5"/>
      <c r="I45" s="16"/>
      <c r="J45" s="2"/>
      <c r="K45" s="2"/>
      <c r="L45" s="2"/>
    </row>
    <row r="46" spans="3:12" x14ac:dyDescent="0.3">
      <c r="C46" s="16"/>
      <c r="D46" s="5" t="s">
        <v>45</v>
      </c>
      <c r="E46" s="17" t="s">
        <v>53</v>
      </c>
      <c r="G46" s="5"/>
      <c r="H46" s="5"/>
      <c r="I46" s="16"/>
      <c r="J46" s="2"/>
      <c r="K46" s="2"/>
      <c r="L46" s="2"/>
    </row>
    <row r="47" spans="3:12" x14ac:dyDescent="0.3">
      <c r="C47" s="16"/>
      <c r="D47" s="27" t="s">
        <v>46</v>
      </c>
      <c r="E47" s="27"/>
      <c r="F47" s="43" t="s">
        <v>54</v>
      </c>
      <c r="G47" s="43"/>
      <c r="H47" s="43"/>
      <c r="I47" s="43"/>
      <c r="J47" s="2"/>
      <c r="K47" s="2"/>
      <c r="L47" s="2"/>
    </row>
    <row r="48" spans="3:12" x14ac:dyDescent="0.3">
      <c r="C48" s="16"/>
      <c r="D48" s="27" t="s">
        <v>47</v>
      </c>
      <c r="E48" s="27"/>
      <c r="F48" s="27"/>
      <c r="G48" s="27"/>
      <c r="H48" s="26" t="s">
        <v>57</v>
      </c>
      <c r="I48" s="26"/>
      <c r="J48" s="26"/>
      <c r="L48" s="2"/>
    </row>
    <row r="49" spans="3:12" x14ac:dyDescent="0.3">
      <c r="C49" s="16"/>
      <c r="D49" s="51"/>
      <c r="E49" s="51"/>
      <c r="F49" s="51"/>
      <c r="G49" s="51"/>
      <c r="H49" s="51"/>
      <c r="I49" s="16"/>
      <c r="J49" s="2"/>
      <c r="K49" s="2"/>
      <c r="L49" s="2"/>
    </row>
    <row r="50" spans="3:12" x14ac:dyDescent="0.3">
      <c r="C50" s="16"/>
      <c r="D50" s="27" t="s">
        <v>48</v>
      </c>
      <c r="E50" s="27"/>
      <c r="F50" s="27"/>
      <c r="G50" s="27"/>
      <c r="H50" s="26" t="s">
        <v>55</v>
      </c>
      <c r="I50" s="26"/>
      <c r="J50" s="26"/>
      <c r="L50" s="2"/>
    </row>
    <row r="51" spans="3:12" ht="10.5" customHeight="1" x14ac:dyDescent="0.3">
      <c r="C51" s="16"/>
      <c r="D51" s="16"/>
      <c r="E51" s="16"/>
      <c r="F51" s="16"/>
      <c r="G51" s="16"/>
      <c r="H51" s="16"/>
      <c r="I51" s="16"/>
      <c r="J51" s="2"/>
      <c r="K51" s="2"/>
      <c r="L51" s="2"/>
    </row>
    <row r="52" spans="3:12" ht="154.5" customHeight="1" x14ac:dyDescent="0.3">
      <c r="C52" s="54" t="s">
        <v>86</v>
      </c>
      <c r="D52" s="54"/>
      <c r="E52" s="54"/>
      <c r="F52" s="54"/>
      <c r="G52" s="54"/>
      <c r="H52" s="54"/>
      <c r="I52" s="54"/>
      <c r="J52" s="54"/>
      <c r="K52" s="54"/>
      <c r="L52" s="54"/>
    </row>
    <row r="53" spans="3:12" ht="15" customHeight="1" x14ac:dyDescent="0.3">
      <c r="C53" s="12"/>
      <c r="D53" s="13"/>
      <c r="E53" s="13"/>
      <c r="F53" s="13"/>
      <c r="G53" s="13"/>
      <c r="H53" s="13"/>
      <c r="I53" s="13"/>
      <c r="J53" s="13"/>
      <c r="K53" s="13"/>
      <c r="L53" s="13"/>
    </row>
    <row r="54" spans="3:12" ht="15.6" x14ac:dyDescent="0.3">
      <c r="C54" s="55" t="s">
        <v>4</v>
      </c>
      <c r="D54" s="55"/>
      <c r="E54" s="55"/>
      <c r="F54" s="46"/>
      <c r="G54" s="46"/>
      <c r="H54" s="52" t="s">
        <v>5</v>
      </c>
      <c r="I54" s="52"/>
      <c r="J54" s="46"/>
      <c r="K54" s="46"/>
      <c r="L54" s="46"/>
    </row>
    <row r="55" spans="3:12" x14ac:dyDescent="0.3">
      <c r="C55" s="2"/>
      <c r="D55" s="2"/>
      <c r="E55" s="2"/>
      <c r="F55" s="45"/>
      <c r="G55" s="45"/>
      <c r="H55" s="2"/>
      <c r="I55" s="2"/>
      <c r="J55" s="45" t="s">
        <v>35</v>
      </c>
      <c r="K55" s="45"/>
      <c r="L55" s="45"/>
    </row>
    <row r="56" spans="3:12" ht="15.6" x14ac:dyDescent="0.3">
      <c r="C56" s="55" t="s">
        <v>40</v>
      </c>
      <c r="D56" s="55"/>
      <c r="E56" s="55"/>
      <c r="F56" s="46"/>
      <c r="G56" s="46"/>
      <c r="H56" s="2"/>
      <c r="I56" s="2"/>
      <c r="J56" s="2"/>
      <c r="K56" s="2"/>
      <c r="L56" s="2"/>
    </row>
    <row r="57" spans="3:12" ht="15.6" x14ac:dyDescent="0.3">
      <c r="C57" s="14"/>
      <c r="D57" s="14"/>
      <c r="E57" s="14"/>
      <c r="F57" s="15"/>
      <c r="G57" s="15"/>
      <c r="H57" s="2"/>
      <c r="I57" s="2"/>
      <c r="J57" s="2"/>
      <c r="K57" s="2"/>
      <c r="L57" s="2"/>
    </row>
  </sheetData>
  <mergeCells count="69">
    <mergeCell ref="H33:I33"/>
    <mergeCell ref="D34:G34"/>
    <mergeCell ref="D35:G35"/>
    <mergeCell ref="H34:I34"/>
    <mergeCell ref="H35:I35"/>
    <mergeCell ref="I9:K12"/>
    <mergeCell ref="C20:G20"/>
    <mergeCell ref="G22:H22"/>
    <mergeCell ref="C22:E22"/>
    <mergeCell ref="C23:L23"/>
    <mergeCell ref="H20:J20"/>
    <mergeCell ref="J22:L22"/>
    <mergeCell ref="F56:G56"/>
    <mergeCell ref="C56:E56"/>
    <mergeCell ref="C54:E54"/>
    <mergeCell ref="F54:G54"/>
    <mergeCell ref="H28:I28"/>
    <mergeCell ref="D30:G30"/>
    <mergeCell ref="D31:G31"/>
    <mergeCell ref="D32:G32"/>
    <mergeCell ref="D36:G36"/>
    <mergeCell ref="H29:I29"/>
    <mergeCell ref="H30:I30"/>
    <mergeCell ref="H31:I31"/>
    <mergeCell ref="C52:L52"/>
    <mergeCell ref="F47:I47"/>
    <mergeCell ref="D40:J40"/>
    <mergeCell ref="H48:J48"/>
    <mergeCell ref="J55:L55"/>
    <mergeCell ref="F55:G55"/>
    <mergeCell ref="J54:L54"/>
    <mergeCell ref="D27:G27"/>
    <mergeCell ref="D28:G28"/>
    <mergeCell ref="D29:G29"/>
    <mergeCell ref="H36:I36"/>
    <mergeCell ref="D49:H49"/>
    <mergeCell ref="D47:E47"/>
    <mergeCell ref="C39:I39"/>
    <mergeCell ref="H54:I54"/>
    <mergeCell ref="D41:F41"/>
    <mergeCell ref="D48:G48"/>
    <mergeCell ref="H27:I27"/>
    <mergeCell ref="D37:J37"/>
    <mergeCell ref="D33:G33"/>
    <mergeCell ref="C1:L1"/>
    <mergeCell ref="C2:L2"/>
    <mergeCell ref="C17:L17"/>
    <mergeCell ref="C18:D18"/>
    <mergeCell ref="H32:I32"/>
    <mergeCell ref="C21:L21"/>
    <mergeCell ref="D7:E7"/>
    <mergeCell ref="D8:E8"/>
    <mergeCell ref="E18:K18"/>
    <mergeCell ref="C19:F19"/>
    <mergeCell ref="G19:L19"/>
    <mergeCell ref="H26:I26"/>
    <mergeCell ref="D26:G26"/>
    <mergeCell ref="C24:E24"/>
    <mergeCell ref="G24:H24"/>
    <mergeCell ref="J24:L24"/>
    <mergeCell ref="H50:J50"/>
    <mergeCell ref="D50:G50"/>
    <mergeCell ref="E45:F45"/>
    <mergeCell ref="D38:G38"/>
    <mergeCell ref="H38:K38"/>
    <mergeCell ref="E43:G43"/>
    <mergeCell ref="E44:G44"/>
    <mergeCell ref="G41:J41"/>
    <mergeCell ref="G42:J42"/>
  </mergeCells>
  <dataValidations count="2">
    <dataValidation errorStyle="information" operator="greaterThan" showInputMessage="1" showErrorMessage="1" error="Поле обязательное для заполнения" sqref="E18:K18" xr:uid="{00000000-0002-0000-0000-000000000000}"/>
    <dataValidation type="whole" operator="greaterThan" allowBlank="1" showInputMessage="1" showErrorMessage="1" sqref="H20:J20" xr:uid="{00000000-0002-0000-0000-000001000000}">
      <formula1>-1</formula1>
    </dataValidation>
  </dataValidations>
  <pageMargins left="1.1100000000000001" right="0.75" top="0.64" bottom="0.62" header="0.3" footer="0.3"/>
  <pageSetup paperSize="9" scale="6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Sheet2!$B$2:$B$19</xm:f>
          </x14:formula1>
          <xm:sqref>H26:I26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opLeftCell="A14" zoomScale="70" zoomScaleNormal="70" workbookViewId="0">
      <selection activeCell="C17" sqref="C17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20" customFormat="1" ht="43.2" x14ac:dyDescent="0.3">
      <c r="D1" s="20" t="s">
        <v>16</v>
      </c>
      <c r="E1" s="20" t="s">
        <v>17</v>
      </c>
      <c r="F1" s="20" t="s">
        <v>18</v>
      </c>
      <c r="G1" s="20" t="s">
        <v>19</v>
      </c>
      <c r="H1" s="20" t="s">
        <v>70</v>
      </c>
      <c r="I1" s="20" t="s">
        <v>71</v>
      </c>
    </row>
    <row r="2" spans="1:11" x14ac:dyDescent="0.3">
      <c r="A2" s="21" t="s">
        <v>9</v>
      </c>
      <c r="B2" s="21" t="s">
        <v>9</v>
      </c>
      <c r="C2" s="22">
        <v>0</v>
      </c>
      <c r="D2" s="22">
        <v>0</v>
      </c>
      <c r="E2" s="22">
        <v>0</v>
      </c>
      <c r="F2" s="22">
        <v>0</v>
      </c>
      <c r="G2" s="22">
        <v>0</v>
      </c>
      <c r="H2" s="22"/>
      <c r="I2" s="22"/>
      <c r="J2" s="22"/>
      <c r="K2" s="22"/>
    </row>
    <row r="3" spans="1:11" ht="100.8" x14ac:dyDescent="0.3">
      <c r="A3" s="22" t="s">
        <v>8</v>
      </c>
      <c r="B3" s="22" t="s">
        <v>69</v>
      </c>
      <c r="C3" s="22">
        <v>1250</v>
      </c>
      <c r="D3" s="22">
        <v>11</v>
      </c>
      <c r="E3" s="22">
        <v>11</v>
      </c>
      <c r="F3" s="22">
        <v>11</v>
      </c>
      <c r="G3" s="22">
        <v>17</v>
      </c>
      <c r="H3" s="22">
        <v>5</v>
      </c>
      <c r="I3" s="22">
        <v>10</v>
      </c>
      <c r="J3" s="22">
        <v>10000</v>
      </c>
      <c r="K3" s="22" t="s">
        <v>62</v>
      </c>
    </row>
    <row r="4" spans="1:11" ht="100.8" x14ac:dyDescent="0.3">
      <c r="A4" s="22"/>
      <c r="B4" s="22" t="s">
        <v>59</v>
      </c>
      <c r="C4" s="23">
        <v>3000</v>
      </c>
      <c r="D4" s="22">
        <v>11</v>
      </c>
      <c r="E4" s="22">
        <v>11</v>
      </c>
      <c r="F4" s="22">
        <v>11</v>
      </c>
      <c r="G4" s="22">
        <v>17</v>
      </c>
      <c r="H4" s="22" t="s">
        <v>73</v>
      </c>
      <c r="I4" s="22" t="s">
        <v>73</v>
      </c>
      <c r="J4" s="24">
        <v>30000</v>
      </c>
      <c r="K4" s="22" t="s">
        <v>62</v>
      </c>
    </row>
    <row r="5" spans="1:11" ht="100.8" x14ac:dyDescent="0.3">
      <c r="A5" s="22"/>
      <c r="B5" s="22" t="s">
        <v>60</v>
      </c>
      <c r="C5" s="23">
        <v>5556</v>
      </c>
      <c r="D5" s="22">
        <v>11</v>
      </c>
      <c r="E5" s="22">
        <v>11</v>
      </c>
      <c r="F5" s="22">
        <v>11</v>
      </c>
      <c r="G5" s="22">
        <v>17</v>
      </c>
      <c r="H5" s="22" t="s">
        <v>73</v>
      </c>
      <c r="I5" s="22" t="s">
        <v>73</v>
      </c>
      <c r="J5" s="24">
        <v>50000</v>
      </c>
      <c r="K5" s="22" t="s">
        <v>62</v>
      </c>
    </row>
    <row r="6" spans="1:11" ht="100.8" x14ac:dyDescent="0.3">
      <c r="A6" s="22"/>
      <c r="B6" s="22" t="s">
        <v>87</v>
      </c>
      <c r="C6" s="23">
        <v>9500</v>
      </c>
      <c r="D6" s="22">
        <v>11</v>
      </c>
      <c r="E6" s="22">
        <v>11</v>
      </c>
      <c r="F6" s="22">
        <v>11</v>
      </c>
      <c r="G6" s="22">
        <v>17</v>
      </c>
      <c r="H6" s="22" t="s">
        <v>73</v>
      </c>
      <c r="I6" s="22" t="s">
        <v>73</v>
      </c>
      <c r="J6" s="24">
        <v>75000</v>
      </c>
      <c r="K6" s="22" t="s">
        <v>62</v>
      </c>
    </row>
    <row r="7" spans="1:11" ht="100.8" x14ac:dyDescent="0.3">
      <c r="A7" s="22"/>
      <c r="B7" s="22" t="s">
        <v>74</v>
      </c>
      <c r="C7" s="23">
        <v>12500</v>
      </c>
      <c r="D7" s="22">
        <v>11</v>
      </c>
      <c r="E7" s="22">
        <v>11</v>
      </c>
      <c r="F7" s="22">
        <v>11</v>
      </c>
      <c r="G7" s="22">
        <v>17</v>
      </c>
      <c r="H7" s="22" t="s">
        <v>73</v>
      </c>
      <c r="I7" s="22" t="s">
        <v>73</v>
      </c>
      <c r="J7" s="24">
        <v>100000</v>
      </c>
      <c r="K7" s="22" t="s">
        <v>62</v>
      </c>
    </row>
    <row r="8" spans="1:11" ht="100.8" x14ac:dyDescent="0.3">
      <c r="A8" s="22"/>
      <c r="B8" s="22" t="s">
        <v>75</v>
      </c>
      <c r="C8" s="23">
        <v>20000</v>
      </c>
      <c r="D8" s="22">
        <v>11</v>
      </c>
      <c r="E8" s="22">
        <v>11</v>
      </c>
      <c r="F8" s="22">
        <v>11</v>
      </c>
      <c r="G8" s="22">
        <v>17</v>
      </c>
      <c r="H8" s="22" t="s">
        <v>73</v>
      </c>
      <c r="I8" s="22" t="s">
        <v>73</v>
      </c>
      <c r="J8" s="24">
        <v>150000</v>
      </c>
      <c r="K8" s="22" t="s">
        <v>62</v>
      </c>
    </row>
    <row r="9" spans="1:11" ht="100.8" x14ac:dyDescent="0.3">
      <c r="A9" s="22"/>
      <c r="B9" s="22" t="s">
        <v>76</v>
      </c>
      <c r="C9" s="23">
        <v>28571</v>
      </c>
      <c r="D9" s="22">
        <v>11</v>
      </c>
      <c r="E9" s="22">
        <v>11</v>
      </c>
      <c r="F9" s="22">
        <v>11</v>
      </c>
      <c r="G9" s="22">
        <v>17</v>
      </c>
      <c r="H9" s="22" t="s">
        <v>73</v>
      </c>
      <c r="I9" s="22" t="s">
        <v>73</v>
      </c>
      <c r="J9" s="24">
        <v>200000</v>
      </c>
      <c r="K9" s="22" t="s">
        <v>62</v>
      </c>
    </row>
    <row r="10" spans="1:11" ht="100.8" x14ac:dyDescent="0.3">
      <c r="A10" s="22"/>
      <c r="B10" s="22" t="s">
        <v>77</v>
      </c>
      <c r="C10" s="23">
        <v>42857</v>
      </c>
      <c r="D10" s="22">
        <v>10</v>
      </c>
      <c r="E10" s="22">
        <v>10</v>
      </c>
      <c r="F10" s="22">
        <v>10</v>
      </c>
      <c r="G10" s="22">
        <v>17</v>
      </c>
      <c r="H10" s="22" t="s">
        <v>73</v>
      </c>
      <c r="I10" s="22" t="s">
        <v>73</v>
      </c>
      <c r="J10" s="24">
        <v>300000</v>
      </c>
      <c r="K10" s="22" t="s">
        <v>62</v>
      </c>
    </row>
    <row r="11" spans="1:11" ht="100.8" x14ac:dyDescent="0.3">
      <c r="A11" s="22"/>
      <c r="B11" s="22" t="s">
        <v>78</v>
      </c>
      <c r="C11" s="23">
        <v>57143</v>
      </c>
      <c r="D11" s="22">
        <v>10</v>
      </c>
      <c r="E11" s="22">
        <v>10</v>
      </c>
      <c r="F11" s="22">
        <v>10</v>
      </c>
      <c r="G11" s="22">
        <v>17</v>
      </c>
      <c r="H11" s="22" t="s">
        <v>73</v>
      </c>
      <c r="I11" s="22" t="s">
        <v>73</v>
      </c>
      <c r="J11" s="24">
        <v>400000</v>
      </c>
      <c r="K11" s="22" t="s">
        <v>62</v>
      </c>
    </row>
    <row r="12" spans="1:11" ht="100.8" x14ac:dyDescent="0.3">
      <c r="A12" s="22"/>
      <c r="B12" s="22" t="s">
        <v>79</v>
      </c>
      <c r="C12" s="23">
        <v>100000</v>
      </c>
      <c r="D12" s="22">
        <v>9</v>
      </c>
      <c r="E12" s="22">
        <v>9</v>
      </c>
      <c r="F12" s="22">
        <v>9</v>
      </c>
      <c r="G12" s="22">
        <v>17</v>
      </c>
      <c r="H12" s="22" t="s">
        <v>73</v>
      </c>
      <c r="I12" s="22" t="s">
        <v>73</v>
      </c>
      <c r="J12" s="24">
        <v>700000</v>
      </c>
      <c r="K12" s="22" t="s">
        <v>62</v>
      </c>
    </row>
    <row r="13" spans="1:11" ht="100.8" x14ac:dyDescent="0.3">
      <c r="A13" s="22"/>
      <c r="B13" s="22" t="s">
        <v>80</v>
      </c>
      <c r="C13" s="23">
        <v>142857</v>
      </c>
      <c r="D13" s="22">
        <v>9</v>
      </c>
      <c r="E13" s="22">
        <v>9</v>
      </c>
      <c r="F13" s="22">
        <v>9</v>
      </c>
      <c r="G13" s="22">
        <v>17</v>
      </c>
      <c r="H13" s="22" t="s">
        <v>73</v>
      </c>
      <c r="I13" s="22" t="s">
        <v>73</v>
      </c>
      <c r="J13" s="24">
        <v>1000000</v>
      </c>
      <c r="K13" s="22" t="s">
        <v>62</v>
      </c>
    </row>
    <row r="14" spans="1:11" ht="100.8" x14ac:dyDescent="0.3">
      <c r="A14" s="22"/>
      <c r="B14" s="22" t="s">
        <v>81</v>
      </c>
      <c r="C14" s="23">
        <v>250000</v>
      </c>
      <c r="D14" s="22">
        <v>8</v>
      </c>
      <c r="E14" s="22">
        <v>8</v>
      </c>
      <c r="F14" s="22">
        <v>8</v>
      </c>
      <c r="G14" s="22">
        <v>17</v>
      </c>
      <c r="H14" s="22" t="s">
        <v>73</v>
      </c>
      <c r="I14" s="22" t="s">
        <v>73</v>
      </c>
      <c r="J14" s="24">
        <v>1500000</v>
      </c>
      <c r="K14" s="22" t="s">
        <v>62</v>
      </c>
    </row>
    <row r="15" spans="1:11" ht="100.8" x14ac:dyDescent="0.3">
      <c r="A15" s="22"/>
      <c r="B15" s="22" t="s">
        <v>84</v>
      </c>
      <c r="C15" s="23">
        <v>333333</v>
      </c>
      <c r="D15" s="22">
        <v>8</v>
      </c>
      <c r="E15" s="22">
        <v>8</v>
      </c>
      <c r="F15" s="22">
        <v>8</v>
      </c>
      <c r="G15" s="22">
        <v>17</v>
      </c>
      <c r="H15" s="22" t="s">
        <v>73</v>
      </c>
      <c r="I15" s="22" t="s">
        <v>73</v>
      </c>
      <c r="J15" s="24">
        <v>2000000</v>
      </c>
      <c r="K15" s="22" t="s">
        <v>62</v>
      </c>
    </row>
    <row r="16" spans="1:11" ht="100.8" x14ac:dyDescent="0.3">
      <c r="A16" s="22"/>
      <c r="B16" s="22" t="s">
        <v>82</v>
      </c>
      <c r="C16" s="23">
        <v>416667</v>
      </c>
      <c r="D16" s="22">
        <v>8</v>
      </c>
      <c r="E16" s="22">
        <v>8</v>
      </c>
      <c r="F16" s="22">
        <v>8</v>
      </c>
      <c r="G16" s="22">
        <v>17</v>
      </c>
      <c r="H16" s="22" t="s">
        <v>73</v>
      </c>
      <c r="I16" s="22" t="s">
        <v>73</v>
      </c>
      <c r="J16" s="24">
        <v>2500000</v>
      </c>
      <c r="K16" s="22" t="s">
        <v>62</v>
      </c>
    </row>
    <row r="17" spans="1:11" ht="100.8" x14ac:dyDescent="0.3">
      <c r="A17" s="22"/>
      <c r="B17" s="22" t="s">
        <v>83</v>
      </c>
      <c r="C17" s="23">
        <v>500000</v>
      </c>
      <c r="D17" s="22">
        <v>7</v>
      </c>
      <c r="E17" s="22">
        <v>7</v>
      </c>
      <c r="F17" s="22">
        <v>7</v>
      </c>
      <c r="G17" s="22">
        <v>17</v>
      </c>
      <c r="H17" s="22" t="s">
        <v>73</v>
      </c>
      <c r="I17" s="22" t="s">
        <v>73</v>
      </c>
      <c r="J17" s="24">
        <v>3000000</v>
      </c>
      <c r="K17" s="22" t="s">
        <v>62</v>
      </c>
    </row>
    <row r="18" spans="1:11" ht="100.8" x14ac:dyDescent="0.3">
      <c r="A18" s="22"/>
      <c r="B18" s="22" t="s">
        <v>88</v>
      </c>
      <c r="C18" s="23">
        <v>670000</v>
      </c>
      <c r="D18" s="22">
        <v>5</v>
      </c>
      <c r="E18" s="22">
        <v>5</v>
      </c>
      <c r="F18" s="22">
        <v>7</v>
      </c>
      <c r="G18" s="22">
        <v>17</v>
      </c>
      <c r="H18" s="22" t="s">
        <v>73</v>
      </c>
      <c r="I18" s="22" t="s">
        <v>73</v>
      </c>
      <c r="J18" s="24">
        <v>4000000</v>
      </c>
      <c r="K18" s="22" t="s">
        <v>62</v>
      </c>
    </row>
    <row r="19" spans="1:11" x14ac:dyDescent="0.3">
      <c r="A19" s="22"/>
      <c r="B19" s="22" t="s">
        <v>30</v>
      </c>
      <c r="C19" s="22" t="s">
        <v>31</v>
      </c>
      <c r="D19" s="22" t="s">
        <v>31</v>
      </c>
      <c r="E19" s="22" t="s">
        <v>31</v>
      </c>
      <c r="F19" s="22" t="s">
        <v>31</v>
      </c>
      <c r="G19" s="22" t="s">
        <v>31</v>
      </c>
      <c r="H19" s="22"/>
      <c r="I19" s="22" t="s">
        <v>31</v>
      </c>
      <c r="J19" s="22" t="s">
        <v>31</v>
      </c>
      <c r="K19" s="22"/>
    </row>
    <row r="21" spans="1:11" x14ac:dyDescent="0.3">
      <c r="A21" s="1" t="s">
        <v>9</v>
      </c>
    </row>
    <row r="22" spans="1:11" x14ac:dyDescent="0.3">
      <c r="A22" t="s">
        <v>33</v>
      </c>
    </row>
    <row r="23" spans="1:11" x14ac:dyDescent="0.3">
      <c r="A23" t="s">
        <v>34</v>
      </c>
    </row>
  </sheetData>
  <phoneticPr fontId="1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6D7442-32FF-448A-AB3B-2D2B955FF52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4DFF393-0715-468B-990C-7DEAED7D3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Заявление Бизнес-телефония</vt:lpstr>
      <vt:lpstr>Sheet2</vt:lpstr>
      <vt:lpstr>'Заявление Бизнес-телефония'!Область_печати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Заявление на услугу БТ все тарифы</dc:title>
  <dc:creator>Vladimir Kim</dc:creator>
  <cp:lastModifiedBy>Alexandr Murdassov</cp:lastModifiedBy>
  <cp:lastPrinted>2017-12-02T13:20:09Z</cp:lastPrinted>
  <dcterms:created xsi:type="dcterms:W3CDTF">2016-01-20T04:20:43Z</dcterms:created>
  <dcterms:modified xsi:type="dcterms:W3CDTF">2025-12-02T06:41:00Z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2025-12-02T06:40:48Z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a9b9a7e4-1545-4cec-ad2f-84855341f9d3</vt:lpwstr>
  </property>
  <property fmtid="{D5CDD505-2E9C-101B-9397-08002B2CF9AE}" pid="9" name="MSIP_Label_9cdd97af-22dc-49fa-ac47-e24224ce56c4_ContentBits">
    <vt:lpwstr>0</vt:lpwstr>
  </property>
</Properties>
</file>