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бизнес телефония\"/>
    </mc:Choice>
  </mc:AlternateContent>
  <xr:revisionPtr revIDLastSave="0" documentId="8_{C4B16A45-DB03-45DC-8BAD-9533D46C45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КП все тарифы" sheetId="1" r:id="rId1"/>
    <sheet name="Лист1" sheetId="3" state="hidden" r:id="rId2"/>
    <sheet name="Sheet2" sheetId="2" state="hidden" r:id="rId3"/>
  </sheets>
  <definedNames>
    <definedName name="_xlnm.Print_Area" localSheetId="0">'КП все тарифы'!$A$1:$AP$24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2" i="1"/>
  <c r="J8" i="1"/>
  <c r="J11" i="1" l="1"/>
  <c r="J7" i="1"/>
  <c r="J6" i="1"/>
  <c r="J5" i="1"/>
  <c r="J3" i="1"/>
  <c r="I12" i="1"/>
</calcChain>
</file>

<file path=xl/sharedStrings.xml><?xml version="1.0" encoding="utf-8"?>
<sst xmlns="http://schemas.openxmlformats.org/spreadsheetml/2006/main" count="102" uniqueCount="44">
  <si>
    <t>по протоколу SIP через сеть Интернет</t>
  </si>
  <si>
    <t>(выберите из списка)</t>
  </si>
  <si>
    <t>ONNET</t>
  </si>
  <si>
    <t>CUG</t>
  </si>
  <si>
    <t>OFFNET</t>
  </si>
  <si>
    <t>PSTN</t>
  </si>
  <si>
    <t>Исходящие звонки:</t>
  </si>
  <si>
    <t>Шаг тарификации</t>
  </si>
  <si>
    <t>Внутри сети Kcell, Activ, за 1 минуту</t>
  </si>
  <si>
    <t>1 сек</t>
  </si>
  <si>
    <t>Внутри корпоративной группы, за 1 минуту</t>
  </si>
  <si>
    <t>На других операторов РК, за 1 минуту</t>
  </si>
  <si>
    <t>На городские номера РК, за 1 минуту</t>
  </si>
  <si>
    <t xml:space="preserve">Стоимость,  
тенге с НДС </t>
  </si>
  <si>
    <t>тенге</t>
  </si>
  <si>
    <t>минут</t>
  </si>
  <si>
    <t>Другой</t>
  </si>
  <si>
    <t>(укажите)</t>
  </si>
  <si>
    <t>Открыть</t>
  </si>
  <si>
    <t>Закрыть</t>
  </si>
  <si>
    <t>Ежемесячная абонентская плата**</t>
  </si>
  <si>
    <t>Бизнес пакет 30</t>
  </si>
  <si>
    <t>Бизнес пакет 50</t>
  </si>
  <si>
    <t>Ежемесячный пакет минут для звонков на номера всех сотовых операторов по Казахстану***</t>
  </si>
  <si>
    <t xml:space="preserve">* - с условиями предоставления тарифного плана ознакомлены и согласны на его подключение
**Абонентская плата списывается каждое 1-е число месяца, следующего за учетным, независимо от даты подключения или отключения Тарифного плана. В абонентскую плату включена стоимость ежемесячного пакета минут для звонков на номера всех сотовых операторов по Казахстану. При подключении Тарифного плана не с 1-го числа месяца абонентская плата списана не будет, ежемесячный пакет минут для звонков на номера сотовых операторов по Казахстану предоставлен не будет, тарификация используемых в этом месяце услуг будет производится по тарифам, указанным в таблице.
*** минуты в пакете действуют в течение календарного месяца и на следующий месяц не переносятся. После исчерпания пакета минут в учетном месяце исходящие звонки на указанные направления по Казахстану тарифицируются согласно условиям Тарифного плана.
</t>
  </si>
  <si>
    <t>Стартовый 10</t>
  </si>
  <si>
    <t>Количество виртуальных номеров</t>
  </si>
  <si>
    <t>Количество вх/исх сессий</t>
  </si>
  <si>
    <t>Итоговая АП</t>
  </si>
  <si>
    <t>согласно заявлению клиента</t>
  </si>
  <si>
    <t>Бизнес пакет 100</t>
  </si>
  <si>
    <t>Бизнес пакет 150</t>
  </si>
  <si>
    <t>Бизнес пакет 200</t>
  </si>
  <si>
    <t>Бизнес пакет 300</t>
  </si>
  <si>
    <t>Бизнес пакет 400</t>
  </si>
  <si>
    <t>Бизнес пакет 700</t>
  </si>
  <si>
    <t>Бизнес пакет 1MLN</t>
  </si>
  <si>
    <t>Бизнес пакет 1,5MLN</t>
  </si>
  <si>
    <t>Бизнес пакет 2,5MLN</t>
  </si>
  <si>
    <t>Бизнес пакет 3MLN</t>
  </si>
  <si>
    <t>Тарифный план*</t>
  </si>
  <si>
    <t>Бизнес пакет 4MLN</t>
  </si>
  <si>
    <t>Бизнес пакет 75</t>
  </si>
  <si>
    <t>до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</si>
</sst>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#,##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horizontal="left" vertical="center" wrapText="1" indent="3"/>
    </xf>
    <xf numFmtId="165" fontId="5" fillId="0" borderId="2" xfId="0" applyNumberFormat="1" applyFont="1" applyBorder="1" applyAlignment="1">
      <alignment horizontal="center" vertical="center" wrapText="1"/>
    </xf>
    <xf numFmtId="165" fontId="4" fillId="2" borderId="2" xfId="0" applyNumberFormat="1" applyFont="1" applyFill="1" applyBorder="1" applyAlignment="1" applyProtection="1">
      <alignment horizontal="center" vertical="center"/>
      <protection locked="0"/>
    </xf>
    <xf numFmtId="166" fontId="5" fillId="0" borderId="2" xfId="0" applyNumberFormat="1" applyFont="1" applyBorder="1" applyAlignment="1">
      <alignment horizontal="center" vertical="center" wrapText="1"/>
    </xf>
    <xf numFmtId="166" fontId="4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/>
    <xf numFmtId="0" fontId="6" fillId="2" borderId="1" xfId="0" applyFont="1" applyFill="1" applyBorder="1" applyAlignment="1">
      <alignment horizontal="left" vertical="top" wrapText="1"/>
    </xf>
    <xf numFmtId="0" fontId="7" fillId="3" borderId="2" xfId="0" applyFont="1" applyFill="1" applyBorder="1" applyAlignment="1" applyProtection="1">
      <alignment horizontal="center" wrapText="1"/>
      <protection locked="0"/>
    </xf>
    <xf numFmtId="0" fontId="7" fillId="3" borderId="3" xfId="0" applyFont="1" applyFill="1" applyBorder="1" applyAlignment="1" applyProtection="1">
      <alignment horizontal="center" wrapText="1"/>
      <protection locked="0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65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19878</xdr:colOff>
      <xdr:row>6</xdr:row>
      <xdr:rowOff>165100</xdr:rowOff>
    </xdr:from>
    <xdr:to>
      <xdr:col>7</xdr:col>
      <xdr:colOff>1926772</xdr:colOff>
      <xdr:row>23</xdr:row>
      <xdr:rowOff>1701800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9F43EE-E800-4042-AC40-7BCA6DF68925}"/>
            </a:ext>
          </a:extLst>
        </xdr:cNvPr>
        <xdr:cNvSpPr txBox="1"/>
      </xdr:nvSpPr>
      <xdr:spPr>
        <a:xfrm>
          <a:off x="19878" y="2135414"/>
          <a:ext cx="6957865" cy="68924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Уважаемый (-ая) _____________________________!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АО «Кселл» выражает Вам свою благодарность за сложившиеся партнерские отношения. 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Мы понимаем всю важность ___________ __________индустрии в экономике страны и стремимся поддержать Ваш бизнес, путем предложения наших инновационных продуктов. Настоящее информационное письмо имеет целью подробнее ознакомить Вас с нашими  продуктами и услугами.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Обращаем Ваше внимание на то, что </a:t>
          </a:r>
          <a:r>
            <a:rPr lang="en-US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самого начала своей работы АО «Кселл» выступает в роли инноватора на рынке сотовой связи Казахстана и предоставляет привлекательные условия сотрудничества для корпоративного сектора: 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Привлекательные и выгодные тарифные планы как внутри РК, так и международные направления;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Гибкую систему скидок, в зависимости от объема разговоров, срока контракта  и количества подключенных номеров;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Персонального менеджера и персональный подход к каждому;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Выбор системы оплаты – кредитный или авансовый;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Выбор способа доставки счетов (e-mail, курьером, по факсу);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Индивидуальные решения по техническому обслуживанию и покрытию;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Новейшие услуги и технологии, разрабатываемые индивидуально для клиента.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Также, мы предлагаем вашему вниманию нашу услугу </a:t>
          </a:r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Бизнес-телефония.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</a:t>
          </a: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позволяет использовать услуги связи через подключенную АТС заказчика, уменьшая, таким образом, расходы на связь при звонках со стационарных телефонов на любые направления.</a:t>
          </a: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Преимущества: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Снижение затрат на телефонные разговоры;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Качество связи не зависит от покрытия базовой станции;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Альтернатива обычной телефонной линии;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Выделение необходимого числа каналов (сессий)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Выделение необходимого количества виртуальных номеров</a:t>
          </a:r>
        </a:p>
      </xdr:txBody>
    </xdr:sp>
    <xdr:clientData/>
  </xdr:twoCellAnchor>
  <xdr:twoCellAnchor editAs="absolute">
    <xdr:from>
      <xdr:col>0</xdr:col>
      <xdr:colOff>32576</xdr:colOff>
      <xdr:row>3</xdr:row>
      <xdr:rowOff>280346</xdr:rowOff>
    </xdr:from>
    <xdr:to>
      <xdr:col>4</xdr:col>
      <xdr:colOff>766276</xdr:colOff>
      <xdr:row>5</xdr:row>
      <xdr:rowOff>54429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99A5B8-3D35-401B-8BDA-70DCE86516AA}"/>
            </a:ext>
          </a:extLst>
        </xdr:cNvPr>
        <xdr:cNvSpPr txBox="1"/>
      </xdr:nvSpPr>
      <xdr:spPr>
        <a:xfrm>
          <a:off x="32576" y="1270946"/>
          <a:ext cx="2954386" cy="5578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________№_______________</a:t>
          </a:r>
          <a:r>
            <a:rPr lang="ru-RU" sz="10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_________________________</a:t>
          </a:r>
          <a:r>
            <a:rPr lang="ru-RU" sz="10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5</xdr:col>
      <xdr:colOff>377372</xdr:colOff>
      <xdr:row>3</xdr:row>
      <xdr:rowOff>97105</xdr:rowOff>
    </xdr:from>
    <xdr:to>
      <xdr:col>7</xdr:col>
      <xdr:colOff>1584600</xdr:colOff>
      <xdr:row>5</xdr:row>
      <xdr:rowOff>191948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40DB209-AE25-4136-8222-CB36256D4E66}"/>
            </a:ext>
          </a:extLst>
        </xdr:cNvPr>
        <xdr:cNvSpPr txBox="1"/>
      </xdr:nvSpPr>
      <xdr:spPr>
        <a:xfrm>
          <a:off x="3643086" y="1087705"/>
          <a:ext cx="2992485" cy="8786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Должность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Организация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Г-ну (Г-же) ФИО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95250</xdr:colOff>
      <xdr:row>0</xdr:row>
      <xdr:rowOff>29817</xdr:rowOff>
    </xdr:from>
    <xdr:to>
      <xdr:col>22</xdr:col>
      <xdr:colOff>0</xdr:colOff>
      <xdr:row>23</xdr:row>
      <xdr:rowOff>1676400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B870B57-5912-4A84-AA66-44237E8CBC48}"/>
            </a:ext>
          </a:extLst>
        </xdr:cNvPr>
        <xdr:cNvSpPr txBox="1"/>
      </xdr:nvSpPr>
      <xdr:spPr>
        <a:xfrm>
          <a:off x="12401550" y="29817"/>
          <a:ext cx="6819900" cy="8980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Техническая схема:</a:t>
          </a:r>
          <a:b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Подключение происходит по системе сигнализации SIP;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АОН в сторону Kcell должен выдавать 7уу00у хххх (7уу00у номер, присваиваемый Kcell, хххх – внутренний номер);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Указана общая схема соединения, она может быть изменена согласно техническим условиям: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Для более оперативного решения Ваших запросов, вопросами получения информации о новых продуктах, акциях и тарифах занимается консультант, а вопросами текущего обслуживания занимается Ваш персональный менеджер. Также для Вашего удобства работает справочная служба 24/7 по телефонам 9090 (с мобильного номера) и +7 (727) 2588 300 (с городского); в рабочие дни с 8:00 до 22:00, в выходные с 10:00 до 18:00 консультации по телефону: +7 (727) 2587 021.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Хотим обратить ваше внимание на то, что данное коммерческое предложение действительно в течение 30 календарных дней и надеемся на получение от Вас ответа до указанного срока.</a:t>
          </a: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 уважением,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kk-KZ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Директор Департамента по развитию бизнес рынка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	         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(ФИО)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131061</xdr:colOff>
      <xdr:row>3</xdr:row>
      <xdr:rowOff>357122</xdr:rowOff>
    </xdr:from>
    <xdr:to>
      <xdr:col>17</xdr:col>
      <xdr:colOff>433301</xdr:colOff>
      <xdr:row>6</xdr:row>
      <xdr:rowOff>61659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A077BCF-2025-491F-8A66-CF74C6B0EC1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3661" y="1360422"/>
          <a:ext cx="3350240" cy="88563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22</xdr:col>
      <xdr:colOff>2720</xdr:colOff>
      <xdr:row>0</xdr:row>
      <xdr:rowOff>10886</xdr:rowOff>
    </xdr:from>
    <xdr:to>
      <xdr:col>31</xdr:col>
      <xdr:colOff>2720</xdr:colOff>
      <xdr:row>23</xdr:row>
      <xdr:rowOff>1752600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C478136-937C-4B95-80DC-52382A209670}"/>
            </a:ext>
          </a:extLst>
        </xdr:cNvPr>
        <xdr:cNvSpPr txBox="1"/>
      </xdr:nvSpPr>
      <xdr:spPr>
        <a:xfrm>
          <a:off x="19224170" y="10886"/>
          <a:ext cx="5657850" cy="90759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Приложение №1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Услуги: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которая позволяет использовать услуги связи через подключенную АТС заказчика, уменьшая, таким образом, расходы на связь при звонках со стационарных телефонов на любые направления.  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Револьверный пакет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с помощью которой при исходящем звонке номера чередуются из закрепленного за клиентом пакета абонентских номеров. Данная услуга позволяет банкам и коллекторским компаниям увеличить количество успешных дозвонов до должников, за счет постоянной смены исходящего номера. 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Мобильный офис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 по организации мини-коллцентра по приему входящих вызовов на многоканальный номер компании и распределении сотрудникам.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Клуб 7.0.1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рекламная площадка Вашего бизнеса. Клуб позволяет рекламировать Ваши товары и услуги посредством SMS, Голосового ролика или Звонка оператора на аудиторию подписчиков Клуба с применением критериев таргетирования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 пульс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это современная мобильная «Книга жалоб и предложений», которая позволит абонентам всех мобильных операторов Казахстана с помощью отправки SMS оценить качество услуг и товаров Вашей компании.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Телеисследование -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проведение телефонных опросов колл – центром Kcell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Коммерческий отчет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позволяющая Вам получать аналитику по количеству абонентов в заданных локациях в разрезе следующих параметров: данные о среднем счете за услуги связи, регистрационные данные, данные об абонентском устройстве, данные о подключенных услугах и другие.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SMS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рассылка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позволяющая совершать массовую рассылку единого SMS на большое количество номеров одновременно.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DATA/FAX –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это услуга, позволяющая отправлять и принимать сообщения, файлы или другую информацию с одного терминала на другой с помощью технологии CSD </a:t>
          </a:r>
          <a:r>
            <a:rPr lang="ru-RU" sz="110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Circuit Switched Data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В качестве терминалов могут выступать как мобильные телефоны с функцией GSM-модема, так и другие устройства с поддержкой CSD.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Фиксированный интернет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 предоставления доступа к ресурсам сети Интернет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 использованием широкополосных каналов передачи данных с помощью радиорелейных или оптических линий связи.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сеть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услуга, позволяющая объединить все офисы и объекты клиента в одну сеть и дает пользователям безопасный способ доступа к ресурсам корпоративной сети, вне зависимости от географического расположения.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Кселл облако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позволяющая хранить и управлять данными Клиента на базе инфраструктуры Компании.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Защита от </a:t>
          </a: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DDoS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атак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заключающаяся в анализе и обработке трафика Клиентов в сети «Интернет» на предмет массовых кибер-атак в целях обеспечения стабильности и бесперебойности работы информационных ресурсов Клиентов по протоколам HTTP или HTTPS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Корпоротивное программное обеспечение от ведущих вендоров как - A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BBYY, ADOBE, Autodesk, Avira, Corel, DrWeb, ESET, CommVault, Kerio, McAfee, Microsoft, PROMT, Symantec, Veritas, Veeam, Kaspersky, UserGate, Avast, WinRAR, Famatech_(Radmin), TeamViewer, Fast Reports, TrendMicro.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мелодия вместо гудков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 позволяет заменить стандартные гудки на корпоративный гимн или специальное приветствие.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Инфо-центр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это система исходящего автоматического обзвона и интерактивного голосового взаимодействия.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Контроль лимитов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разделения общего лицевого счета на виртуальный подсчет, с возможностью назначения индивидуальных лимитов.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Free Phone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услуга оператора, при которой вызовы на короткий номер оплачиваются вызываемой, а не вызывающей стороной.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31</xdr:col>
      <xdr:colOff>43543</xdr:colOff>
      <xdr:row>0</xdr:row>
      <xdr:rowOff>32658</xdr:rowOff>
    </xdr:from>
    <xdr:to>
      <xdr:col>42</xdr:col>
      <xdr:colOff>0</xdr:colOff>
      <xdr:row>23</xdr:row>
      <xdr:rowOff>1771650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C593C6D-0165-44E8-A3E2-CB49C3621411}"/>
            </a:ext>
          </a:extLst>
        </xdr:cNvPr>
        <xdr:cNvSpPr txBox="1"/>
      </xdr:nvSpPr>
      <xdr:spPr>
        <a:xfrm>
          <a:off x="24922843" y="32658"/>
          <a:ext cx="6871607" cy="90732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lvl="0" indent="-171450">
            <a:buFont typeface="Times New Roman" panose="02020603050405020304" pitchFamily="18" charset="0"/>
            <a:buChar char="₋"/>
          </a:pPr>
          <a:endParaRPr lang="ru-RU" sz="11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Телеметрия - </a:t>
          </a:r>
          <a:r>
            <a:rPr lang="ru-RU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услуга, которая позволяет объединить удаленные терминалы в единую    виртуальную сеть посредством GPRS </a:t>
          </a:r>
          <a:endParaRPr lang="en-US" sz="1100" b="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Статический IP-адрес </a:t>
          </a:r>
          <a:r>
            <a:rPr lang="ru-RU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эта услуга, с помощью которой Вашему оборудованию: POS-терминалам, компьютерам и другому терминальному оборудованию выделяется неизменный идентификатор.</a:t>
          </a:r>
          <a:endParaRPr lang="ru-RU" sz="11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мелодия вместо гудков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 позволяет заменить стандартные гудки на корпоративный гимн или специальное приветствие.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Контроль лимитов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разделения общего лицевого счета на виртуальные подсчета, с возможностью назначени я индивидуальных лимитов.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3G USB модем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для удаленного доступа к сети интернет.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WI-FI  Router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Портативное небольшое устройство представляет собой мобильную точку доступа (роутер) Wi Fi, которая работает через SIM-карту и раздает сигнал на все ваши устройства, которые поддерживают Wi Fi: ноутбук, iphone, ipad, принтеры поддерживающие Wi-Fi и другие.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Передача факсов/данных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передачи и приема факсов и данных по голосовым каналам.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Автомониторинг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позволяющая отслеживать транспортные средства или любые другие объекты в реальный момент времени.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Мой новый номер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которая оповестит звонящих на Ваш старый номер о его смене.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Упрощенный документооборот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сокращение (устранение) "бумажного" документооборота; экономия времени; экономия ресурсов; работа с доверенным  лицом; обработка писем, полученных по 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mail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или факсу; нет необходимости в получении оригинала писем.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М2М sim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карты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SIM-карты «М2М термо» специально разработаны для использования в устройствах передачи данных в сложных условиях. В отличие от обычных, SIM-карты «М2М термо»: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деактивирован счетчик аутентификаций;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изготовлены из особо прочного термостойкого пластика;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устойчивы к коррозии контактной группы;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имеют увеличенный срок службы;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способны бесперебойно работать в диапазоне температур от -40ºС до +105ºС.</a:t>
          </a:r>
        </a:p>
        <a:p>
          <a:pPr marL="171450" lvl="0" indent="-171450" algn="l">
            <a:buFont typeface="Times New Roman" panose="02020603050405020304" pitchFamily="18" charset="0"/>
            <a:buChar char="⁻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КИССА (Корпоративная Интернет Система Сервиса Абонента)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это удобный инструмент для получения информации о состоянии корпоративной группы и представляет собой доступ к актуальной информации о лицевых счетах через сеть Интернет в автоматическом режиме без участия оператора Кселл.</a:t>
          </a:r>
          <a:r>
            <a:rPr lang="ru-RU" sz="11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Используя КИССА, Вы можете: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Узнать балансы лицевых счетов;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информацию о подключенных услугах и их стоимости;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Увидеть зачисленные платежи;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Подключить или отключить услуги, как на отдельном номере, так и на всей корпоративной группе номеров;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копию счет-фактуры;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детализацию счета за прошедший период;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Заблокировать и разблокировать нмера;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Изменить адрес доставки счетов; 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Узнать, какие подключены тарифные планы;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информацию о заказанных Вами счетах и детализации счетов и результатах доставки;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Произвести оплату по Карте Мгновенной Оплаты (КСО);</a:t>
          </a:r>
          <a:b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Изменить пароль; </a:t>
          </a:r>
        </a:p>
        <a:p>
          <a:pPr lvl="0" algn="l"/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Подробную информацию вы можете получить у вашего персонального менеджера.</a:t>
          </a: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1864722</xdr:colOff>
      <xdr:row>3</xdr:row>
      <xdr:rowOff>185056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58B3D283-D661-4371-BEC5-8BDBEEC762E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923313" cy="11756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view="pageBreakPreview" zoomScale="55" zoomScaleNormal="100" zoomScaleSheetLayoutView="55" zoomScalePageLayoutView="70" workbookViewId="0">
      <selection activeCell="J18" sqref="J15:J18"/>
    </sheetView>
  </sheetViews>
  <sheetFormatPr defaultRowHeight="14.4" x14ac:dyDescent="0.3"/>
  <cols>
    <col min="1" max="1" width="13.33203125" customWidth="1"/>
    <col min="2" max="2" width="6.44140625" customWidth="1"/>
    <col min="4" max="4" width="2.5546875" customWidth="1"/>
    <col min="5" max="5" width="14.6640625" customWidth="1"/>
    <col min="6" max="6" width="15.88671875" customWidth="1"/>
    <col min="7" max="7" width="9.109375" customWidth="1"/>
    <col min="8" max="8" width="27.21875" customWidth="1"/>
    <col min="9" max="9" width="37.33203125" bestFit="1" customWidth="1"/>
    <col min="10" max="10" width="35" customWidth="1"/>
    <col min="11" max="11" width="21.109375" customWidth="1"/>
    <col min="31" max="31" width="23.109375" customWidth="1"/>
  </cols>
  <sheetData>
    <row r="1" spans="9:11" ht="15.6" x14ac:dyDescent="0.3">
      <c r="I1" s="14" t="s">
        <v>40</v>
      </c>
      <c r="J1" s="23" t="s">
        <v>25</v>
      </c>
      <c r="K1" s="24"/>
    </row>
    <row r="2" spans="9:11" ht="15.6" x14ac:dyDescent="0.3">
      <c r="I2" s="10" t="s">
        <v>20</v>
      </c>
      <c r="J2" s="19">
        <f>VLOOKUP(J1,Sheet2!$B$2:$J$18,9,0)</f>
        <v>8928.5714285714275</v>
      </c>
      <c r="K2" s="7" t="s">
        <v>14</v>
      </c>
    </row>
    <row r="3" spans="9:11" ht="46.8" x14ac:dyDescent="0.3">
      <c r="I3" s="11" t="s">
        <v>23</v>
      </c>
      <c r="J3" s="12">
        <f>VLOOKUP(J1,Sheet2!$B$2:$J$18,2,0)</f>
        <v>1250</v>
      </c>
      <c r="K3" s="7" t="s">
        <v>15</v>
      </c>
    </row>
    <row r="4" spans="9:11" ht="31.2" x14ac:dyDescent="0.3">
      <c r="I4" s="13" t="s">
        <v>6</v>
      </c>
      <c r="J4" s="12" t="s">
        <v>13</v>
      </c>
      <c r="K4" s="8" t="s">
        <v>7</v>
      </c>
    </row>
    <row r="5" spans="9:11" ht="31.2" x14ac:dyDescent="0.3">
      <c r="I5" s="11" t="s">
        <v>10</v>
      </c>
      <c r="J5" s="17">
        <f>VLOOKUP(J1,Sheet2!$B$2:$J$18,3,0)</f>
        <v>9.8214285714285712</v>
      </c>
      <c r="K5" s="7" t="s">
        <v>9</v>
      </c>
    </row>
    <row r="6" spans="9:11" ht="31.2" x14ac:dyDescent="0.3">
      <c r="I6" s="11" t="s">
        <v>8</v>
      </c>
      <c r="J6" s="17">
        <f>VLOOKUP(J1,Sheet2!$B$2:$J$18,4,0)</f>
        <v>9.8214285714285712</v>
      </c>
      <c r="K6" s="7" t="s">
        <v>9</v>
      </c>
    </row>
    <row r="7" spans="9:11" ht="31.2" x14ac:dyDescent="0.3">
      <c r="I7" s="11" t="s">
        <v>11</v>
      </c>
      <c r="J7" s="18">
        <f>VLOOKUP(J1,Sheet2!$B$2:$J$77,5,0)</f>
        <v>9.8214285714285694</v>
      </c>
      <c r="K7" s="7" t="s">
        <v>9</v>
      </c>
    </row>
    <row r="8" spans="9:11" ht="31.2" x14ac:dyDescent="0.3">
      <c r="I8" s="11" t="s">
        <v>12</v>
      </c>
      <c r="J8" s="18">
        <f>VLOOKUP(J1,Sheet2!$B$2:$J$18,6,0)</f>
        <v>15.178571428571427</v>
      </c>
      <c r="K8" s="7" t="s">
        <v>9</v>
      </c>
    </row>
    <row r="9" spans="9:11" ht="15.6" x14ac:dyDescent="0.3">
      <c r="I9" s="11" t="s">
        <v>26</v>
      </c>
      <c r="J9" s="9" t="str">
        <f>VLOOKUP(J1,Sheet2!$B:$H,7,0)</f>
        <v>до 5</v>
      </c>
      <c r="K9" s="7"/>
    </row>
    <row r="10" spans="9:11" ht="15.6" x14ac:dyDescent="0.3">
      <c r="I10" s="11" t="s">
        <v>27</v>
      </c>
      <c r="J10" s="9">
        <f>VLOOKUP(J1,Sheet2!$B:$I,8,0)</f>
        <v>10</v>
      </c>
      <c r="K10" s="7"/>
    </row>
    <row r="11" spans="9:11" ht="15.6" x14ac:dyDescent="0.3">
      <c r="I11" s="11" t="s">
        <v>28</v>
      </c>
      <c r="J11" s="20">
        <f>J2+IF($J$9&lt;=VLOOKUP($J$1,Sheet2!$B$2:$J$18,7,0),0,($J$9-VLOOKUP($J$1,Sheet2!$B$2:$J$18,7,0))*1000)+IF($J$10&lt;=VLOOKUP($J$1,Sheet2!$B$2:$J$18,8,0),0,((ODD($J$10)-VLOOKUP($J$1,Sheet2!$B$2:$J$18,8,0))*500))</f>
        <v>8928.5714285714275</v>
      </c>
      <c r="K11" s="7" t="s">
        <v>14</v>
      </c>
    </row>
    <row r="12" spans="9:11" ht="144.6" customHeight="1" x14ac:dyDescent="0.3">
      <c r="I12" s="22" t="str">
        <f>IF(J2&gt;0,Sheet2!K4,"")</f>
        <v xml:space="preserve">* - с условиями предоставления тарифного плана ознакомлены и согласны на его подключение
**Абонентская плата списывается каждое 1-е число месяца, следующего за учетным, независимо от даты подключения или отключения Тарифного плана. В абонентскую плату включена стоимость ежемесячного пакета минут для звонков на номера всех сотовых операторов по Казахстану. При подключении Тарифного плана не с 1-го числа месяца абонентская плата списана не будет, ежемесячный пакет минут для звонков на номера сотовых операторов по Казахстану предоставлен не будет, тарификация используемых в этом месяце услуг будет производится по тарифам, указанным в таблице.
*** минуты в пакете действуют в течение календарного месяца и на следующий месяц не переносятся. После исчерпания пакета минут в учетном месяце исходящие звонки на указанные направления по Казахстану тарифицируются согласно условиям Тарифного плана.
</v>
      </c>
      <c r="J12" s="22"/>
      <c r="K12" s="22"/>
    </row>
    <row r="13" spans="9:11" ht="21.75" customHeight="1" x14ac:dyDescent="0.3"/>
    <row r="14" spans="9:11" ht="36" customHeight="1" x14ac:dyDescent="0.3"/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ht="10.5" customHeight="1" x14ac:dyDescent="0.3">
      <c r="A23" s="2"/>
      <c r="B23" s="2"/>
      <c r="C23" s="2"/>
      <c r="D23" s="2"/>
      <c r="E23" s="2"/>
      <c r="F23" s="2"/>
      <c r="G23" s="2"/>
    </row>
    <row r="24" spans="1:7" ht="154.19999999999999" customHeight="1" x14ac:dyDescent="0.3">
      <c r="A24" s="2"/>
      <c r="B24" s="2"/>
      <c r="C24" s="2"/>
      <c r="D24" s="2"/>
      <c r="E24" s="2"/>
      <c r="F24" s="2"/>
      <c r="G24" s="2"/>
    </row>
    <row r="25" spans="1:7" ht="15" customHeight="1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1"/>
      <c r="B77" s="21"/>
      <c r="C77" s="21"/>
      <c r="D77" s="21"/>
      <c r="E77" s="21"/>
      <c r="F77" s="21"/>
      <c r="G77" s="21"/>
    </row>
    <row r="78" spans="1:7" x14ac:dyDescent="0.3">
      <c r="A78" s="21"/>
      <c r="B78" s="21"/>
      <c r="C78" s="21"/>
      <c r="D78" s="21"/>
      <c r="E78" s="21"/>
      <c r="F78" s="21"/>
      <c r="G78" s="21"/>
    </row>
    <row r="79" spans="1:7" x14ac:dyDescent="0.3">
      <c r="A79" s="21"/>
      <c r="B79" s="21"/>
      <c r="C79" s="21"/>
      <c r="D79" s="21"/>
      <c r="E79" s="21"/>
      <c r="F79" s="21"/>
      <c r="G79" s="21"/>
    </row>
    <row r="80" spans="1:7" x14ac:dyDescent="0.3">
      <c r="A80" s="21"/>
      <c r="B80" s="21"/>
      <c r="C80" s="21"/>
      <c r="D80" s="21"/>
      <c r="E80" s="21"/>
      <c r="F80" s="21"/>
      <c r="G80" s="21"/>
    </row>
    <row r="81" spans="1:7" x14ac:dyDescent="0.3">
      <c r="A81" s="21"/>
      <c r="B81" s="21"/>
      <c r="C81" s="21"/>
      <c r="D81" s="21"/>
      <c r="E81" s="21"/>
      <c r="F81" s="21"/>
      <c r="G81" s="21"/>
    </row>
    <row r="82" spans="1:7" x14ac:dyDescent="0.3">
      <c r="A82" s="21"/>
      <c r="B82" s="21"/>
      <c r="C82" s="21"/>
      <c r="D82" s="21"/>
      <c r="E82" s="21"/>
      <c r="F82" s="21"/>
      <c r="G82" s="21"/>
    </row>
    <row r="83" spans="1:7" x14ac:dyDescent="0.3">
      <c r="A83" s="21"/>
      <c r="B83" s="21"/>
      <c r="C83" s="21"/>
      <c r="D83" s="21"/>
      <c r="E83" s="21"/>
      <c r="F83" s="21"/>
      <c r="G83" s="21"/>
    </row>
    <row r="84" spans="1:7" x14ac:dyDescent="0.3">
      <c r="A84" s="21"/>
      <c r="B84" s="21"/>
      <c r="C84" s="21"/>
      <c r="D84" s="21"/>
      <c r="E84" s="21"/>
      <c r="F84" s="21"/>
      <c r="G84" s="21"/>
    </row>
    <row r="85" spans="1:7" x14ac:dyDescent="0.3">
      <c r="A85" s="21"/>
      <c r="B85" s="21"/>
      <c r="C85" s="21"/>
      <c r="D85" s="21"/>
      <c r="E85" s="21"/>
      <c r="F85" s="21"/>
      <c r="G85" s="21"/>
    </row>
    <row r="86" spans="1:7" x14ac:dyDescent="0.3">
      <c r="A86" s="21"/>
      <c r="B86" s="21"/>
      <c r="C86" s="21"/>
      <c r="D86" s="21"/>
      <c r="E86" s="21"/>
      <c r="F86" s="21"/>
      <c r="G86" s="21"/>
    </row>
    <row r="87" spans="1:7" x14ac:dyDescent="0.3">
      <c r="A87" s="21"/>
      <c r="B87" s="21"/>
      <c r="C87" s="21"/>
      <c r="D87" s="21"/>
      <c r="E87" s="21"/>
      <c r="F87" s="21"/>
      <c r="G87" s="21"/>
    </row>
    <row r="88" spans="1:7" x14ac:dyDescent="0.3">
      <c r="A88" s="21"/>
      <c r="B88" s="21"/>
      <c r="C88" s="21"/>
      <c r="D88" s="21"/>
      <c r="E88" s="21"/>
      <c r="F88" s="21"/>
      <c r="G88" s="21"/>
    </row>
    <row r="89" spans="1:7" x14ac:dyDescent="0.3">
      <c r="A89" s="21"/>
      <c r="B89" s="21"/>
      <c r="C89" s="21"/>
      <c r="D89" s="21"/>
      <c r="E89" s="21"/>
      <c r="F89" s="21"/>
      <c r="G89" s="21"/>
    </row>
    <row r="90" spans="1:7" x14ac:dyDescent="0.3">
      <c r="A90" s="21"/>
      <c r="B90" s="21"/>
      <c r="C90" s="21"/>
      <c r="D90" s="21"/>
      <c r="E90" s="21"/>
      <c r="F90" s="21"/>
      <c r="G90" s="21"/>
    </row>
    <row r="91" spans="1:7" x14ac:dyDescent="0.3">
      <c r="A91" s="21"/>
      <c r="B91" s="21"/>
      <c r="C91" s="21"/>
      <c r="D91" s="21"/>
      <c r="E91" s="21"/>
      <c r="F91" s="21"/>
      <c r="G91" s="21"/>
    </row>
    <row r="92" spans="1:7" x14ac:dyDescent="0.3">
      <c r="A92" s="21"/>
      <c r="B92" s="21"/>
      <c r="C92" s="21"/>
      <c r="D92" s="21"/>
      <c r="E92" s="21"/>
      <c r="F92" s="21"/>
      <c r="G92" s="21"/>
    </row>
    <row r="93" spans="1:7" x14ac:dyDescent="0.3">
      <c r="A93" s="21"/>
      <c r="B93" s="21"/>
      <c r="C93" s="21"/>
      <c r="D93" s="21"/>
      <c r="E93" s="21"/>
      <c r="F93" s="21"/>
      <c r="G93" s="21"/>
    </row>
    <row r="94" spans="1:7" x14ac:dyDescent="0.3">
      <c r="A94" s="21"/>
      <c r="B94" s="21"/>
      <c r="C94" s="21"/>
      <c r="D94" s="21"/>
      <c r="E94" s="21"/>
      <c r="F94" s="21"/>
      <c r="G94" s="21"/>
    </row>
    <row r="95" spans="1:7" x14ac:dyDescent="0.3">
      <c r="A95" s="21"/>
      <c r="B95" s="21"/>
      <c r="C95" s="21"/>
      <c r="D95" s="21"/>
      <c r="E95" s="21"/>
      <c r="F95" s="21"/>
      <c r="G95" s="21"/>
    </row>
    <row r="96" spans="1:7" x14ac:dyDescent="0.3">
      <c r="A96" s="21"/>
      <c r="B96" s="21"/>
      <c r="C96" s="21"/>
      <c r="D96" s="21"/>
      <c r="E96" s="21"/>
      <c r="F96" s="21"/>
      <c r="G96" s="21"/>
    </row>
    <row r="97" spans="1:7" x14ac:dyDescent="0.3">
      <c r="A97" s="21"/>
      <c r="B97" s="21"/>
      <c r="C97" s="21"/>
      <c r="D97" s="21"/>
      <c r="E97" s="21"/>
      <c r="F97" s="21"/>
      <c r="G97" s="21"/>
    </row>
    <row r="98" spans="1:7" x14ac:dyDescent="0.3">
      <c r="A98" s="21"/>
      <c r="B98" s="21"/>
      <c r="C98" s="21"/>
      <c r="D98" s="21"/>
      <c r="E98" s="21"/>
      <c r="F98" s="21"/>
      <c r="G98" s="21"/>
    </row>
    <row r="99" spans="1:7" x14ac:dyDescent="0.3">
      <c r="A99" s="21"/>
      <c r="B99" s="21"/>
      <c r="C99" s="21"/>
      <c r="D99" s="21"/>
      <c r="E99" s="21"/>
      <c r="F99" s="21"/>
      <c r="G99" s="21"/>
    </row>
    <row r="100" spans="1:7" x14ac:dyDescent="0.3">
      <c r="A100" s="21"/>
      <c r="B100" s="21"/>
      <c r="C100" s="21"/>
      <c r="D100" s="21"/>
      <c r="E100" s="21"/>
      <c r="F100" s="21"/>
      <c r="G100" s="21"/>
    </row>
  </sheetData>
  <mergeCells count="3">
    <mergeCell ref="A77:G100"/>
    <mergeCell ref="I12:K12"/>
    <mergeCell ref="J1:K1"/>
  </mergeCells>
  <pageMargins left="0.9055118110236221" right="0.55118110236220474" top="0.43307086614173229" bottom="0.43307086614173229" header="0.31496062992125984" footer="0.31496062992125984"/>
  <pageSetup paperSize="9" scale="88" fitToHeight="2" pageOrder="overThenDown" orientation="portrait" r:id="rId1"/>
  <rowBreaks count="3" manualBreakCount="3">
    <brk id="24" max="46" man="1"/>
    <brk id="45" max="16383" man="1"/>
    <brk id="78" max="16383" man="1"/>
  </rowBreaks>
  <colBreaks count="3" manualBreakCount="3">
    <brk id="8" max="23" man="1"/>
    <brk id="11" max="23" man="1"/>
    <brk id="31" max="23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2000000}">
          <x14:formula1>
            <xm:f>Sheet2!$B$2:$B$18</xm:f>
          </x14:formula1>
          <xm:sqref>J1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BF19-FDBB-4108-B211-0B37DC54D24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zoomScale="70" zoomScaleNormal="70" workbookViewId="0">
      <selection activeCell="G4" sqref="G4"/>
    </sheetView>
  </sheetViews>
  <sheetFormatPr defaultRowHeight="14.4" x14ac:dyDescent="0.3"/>
  <cols>
    <col min="1" max="1" width="44" bestFit="1" customWidth="1"/>
    <col min="2" max="2" width="23.6640625" customWidth="1"/>
    <col min="3" max="7" width="10" bestFit="1" customWidth="1"/>
    <col min="8" max="8" width="13.33203125" customWidth="1"/>
    <col min="9" max="9" width="12" customWidth="1"/>
    <col min="10" max="10" width="19.33203125" bestFit="1" customWidth="1"/>
    <col min="11" max="11" width="202.44140625" customWidth="1"/>
  </cols>
  <sheetData>
    <row r="1" spans="1:11" s="3" customFormat="1" ht="43.2" x14ac:dyDescent="0.3">
      <c r="D1" s="3" t="s">
        <v>2</v>
      </c>
      <c r="E1" s="3" t="s">
        <v>3</v>
      </c>
      <c r="F1" s="3" t="s">
        <v>4</v>
      </c>
      <c r="G1" s="3" t="s">
        <v>5</v>
      </c>
      <c r="H1" s="3" t="s">
        <v>26</v>
      </c>
      <c r="I1" s="3" t="s">
        <v>27</v>
      </c>
    </row>
    <row r="2" spans="1:11" x14ac:dyDescent="0.3">
      <c r="A2" s="4" t="s">
        <v>1</v>
      </c>
      <c r="B2" s="4" t="s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/>
      <c r="I2" s="5"/>
      <c r="J2" s="5"/>
      <c r="K2" s="5"/>
    </row>
    <row r="3" spans="1:11" ht="100.8" x14ac:dyDescent="0.3">
      <c r="A3" s="5" t="s">
        <v>0</v>
      </c>
      <c r="B3" s="5" t="s">
        <v>25</v>
      </c>
      <c r="C3" s="5">
        <v>1250</v>
      </c>
      <c r="D3" s="15">
        <v>9.8214285714285712</v>
      </c>
      <c r="E3" s="15">
        <v>9.8214285714285712</v>
      </c>
      <c r="F3" s="15">
        <v>9.8214285714285694</v>
      </c>
      <c r="G3" s="15">
        <v>15.178571428571427</v>
      </c>
      <c r="H3" s="5" t="s">
        <v>43</v>
      </c>
      <c r="I3" s="5">
        <v>10</v>
      </c>
      <c r="J3" s="16">
        <v>8928.5714285714275</v>
      </c>
      <c r="K3" s="5" t="s">
        <v>24</v>
      </c>
    </row>
    <row r="4" spans="1:11" ht="100.8" x14ac:dyDescent="0.3">
      <c r="A4" s="5"/>
      <c r="B4" s="5" t="s">
        <v>21</v>
      </c>
      <c r="C4" s="6">
        <v>3000</v>
      </c>
      <c r="D4" s="15">
        <v>9.8214285714285712</v>
      </c>
      <c r="E4" s="15">
        <v>9.8214285714285712</v>
      </c>
      <c r="F4" s="15">
        <v>9.8214285714285694</v>
      </c>
      <c r="G4" s="15">
        <v>15.178571428571427</v>
      </c>
      <c r="H4" s="5" t="s">
        <v>29</v>
      </c>
      <c r="I4" s="5" t="s">
        <v>29</v>
      </c>
      <c r="J4" s="16">
        <v>26785.714285714283</v>
      </c>
      <c r="K4" s="5" t="s">
        <v>24</v>
      </c>
    </row>
    <row r="5" spans="1:11" ht="100.8" x14ac:dyDescent="0.3">
      <c r="A5" s="5"/>
      <c r="B5" s="5" t="s">
        <v>22</v>
      </c>
      <c r="C5" s="6">
        <v>5556</v>
      </c>
      <c r="D5" s="15">
        <v>9.8214285714285712</v>
      </c>
      <c r="E5" s="15">
        <v>9.8214285714285712</v>
      </c>
      <c r="F5" s="15">
        <v>9.8214285714285694</v>
      </c>
      <c r="G5" s="15">
        <v>15.178571428571427</v>
      </c>
      <c r="H5" s="5" t="s">
        <v>29</v>
      </c>
      <c r="I5" s="5" t="s">
        <v>29</v>
      </c>
      <c r="J5" s="16">
        <v>44642.857142857138</v>
      </c>
      <c r="K5" s="5" t="s">
        <v>24</v>
      </c>
    </row>
    <row r="6" spans="1:11" ht="100.8" x14ac:dyDescent="0.3">
      <c r="A6" s="5"/>
      <c r="B6" s="5" t="s">
        <v>42</v>
      </c>
      <c r="C6" s="6">
        <v>9500</v>
      </c>
      <c r="D6" s="15">
        <v>9.8214285714285712</v>
      </c>
      <c r="E6" s="15">
        <v>9.8214285714285712</v>
      </c>
      <c r="F6" s="15">
        <v>9.8214285714285694</v>
      </c>
      <c r="G6" s="15">
        <v>15.178571428571427</v>
      </c>
      <c r="H6" s="5" t="s">
        <v>29</v>
      </c>
      <c r="I6" s="5" t="s">
        <v>29</v>
      </c>
      <c r="J6" s="16">
        <v>66964.28571428571</v>
      </c>
      <c r="K6" s="5" t="s">
        <v>24</v>
      </c>
    </row>
    <row r="7" spans="1:11" ht="100.8" x14ac:dyDescent="0.3">
      <c r="A7" s="5"/>
      <c r="B7" s="5" t="s">
        <v>30</v>
      </c>
      <c r="C7" s="6">
        <v>12500</v>
      </c>
      <c r="D7" s="15">
        <v>9.8214285714285712</v>
      </c>
      <c r="E7" s="15">
        <v>9.8214285714285712</v>
      </c>
      <c r="F7" s="15">
        <v>9.8214285714285694</v>
      </c>
      <c r="G7" s="15">
        <v>15.178571428571427</v>
      </c>
      <c r="H7" s="5" t="s">
        <v>29</v>
      </c>
      <c r="I7" s="5" t="s">
        <v>29</v>
      </c>
      <c r="J7" s="16">
        <v>89285.714285714275</v>
      </c>
      <c r="K7" s="5" t="s">
        <v>24</v>
      </c>
    </row>
    <row r="8" spans="1:11" ht="100.8" x14ac:dyDescent="0.3">
      <c r="A8" s="5"/>
      <c r="B8" s="5" t="s">
        <v>31</v>
      </c>
      <c r="C8" s="6">
        <v>20000</v>
      </c>
      <c r="D8" s="15">
        <v>9.8214285714285712</v>
      </c>
      <c r="E8" s="15">
        <v>9.8214285714285712</v>
      </c>
      <c r="F8" s="15">
        <v>9.8214285714285694</v>
      </c>
      <c r="G8" s="15">
        <v>15.178571428571427</v>
      </c>
      <c r="H8" s="5" t="s">
        <v>29</v>
      </c>
      <c r="I8" s="5" t="s">
        <v>29</v>
      </c>
      <c r="J8" s="16">
        <v>133928.57142857142</v>
      </c>
      <c r="K8" s="5" t="s">
        <v>24</v>
      </c>
    </row>
    <row r="9" spans="1:11" ht="100.8" x14ac:dyDescent="0.3">
      <c r="A9" s="5"/>
      <c r="B9" s="5" t="s">
        <v>32</v>
      </c>
      <c r="C9" s="6">
        <v>28571</v>
      </c>
      <c r="D9" s="15">
        <v>9.8214285714285712</v>
      </c>
      <c r="E9" s="15">
        <v>9.8214285714285712</v>
      </c>
      <c r="F9" s="15">
        <v>9.8214285714285694</v>
      </c>
      <c r="G9" s="15">
        <v>15.178571428571427</v>
      </c>
      <c r="H9" s="5" t="s">
        <v>29</v>
      </c>
      <c r="I9" s="5" t="s">
        <v>29</v>
      </c>
      <c r="J9" s="16">
        <v>178571.42857142855</v>
      </c>
      <c r="K9" s="5" t="s">
        <v>24</v>
      </c>
    </row>
    <row r="10" spans="1:11" ht="100.8" x14ac:dyDescent="0.3">
      <c r="A10" s="5"/>
      <c r="B10" s="5" t="s">
        <v>33</v>
      </c>
      <c r="C10" s="6">
        <v>42857</v>
      </c>
      <c r="D10" s="15">
        <v>8.928571428571427</v>
      </c>
      <c r="E10" s="15">
        <v>8.928571428571427</v>
      </c>
      <c r="F10" s="15">
        <v>8.9285714285714306</v>
      </c>
      <c r="G10" s="15">
        <v>15.178571428571427</v>
      </c>
      <c r="H10" s="5" t="s">
        <v>29</v>
      </c>
      <c r="I10" s="5" t="s">
        <v>29</v>
      </c>
      <c r="J10" s="16">
        <v>267857.14285714284</v>
      </c>
      <c r="K10" s="5" t="s">
        <v>24</v>
      </c>
    </row>
    <row r="11" spans="1:11" ht="100.8" x14ac:dyDescent="0.3">
      <c r="A11" s="5"/>
      <c r="B11" s="5" t="s">
        <v>34</v>
      </c>
      <c r="C11" s="6">
        <v>57143</v>
      </c>
      <c r="D11" s="15">
        <v>8.928571428571427</v>
      </c>
      <c r="E11" s="15">
        <v>8.928571428571427</v>
      </c>
      <c r="F11" s="15">
        <v>8.9285714285714306</v>
      </c>
      <c r="G11" s="15">
        <v>15.178571428571427</v>
      </c>
      <c r="H11" s="5" t="s">
        <v>29</v>
      </c>
      <c r="I11" s="5" t="s">
        <v>29</v>
      </c>
      <c r="J11" s="16">
        <v>357142.8571428571</v>
      </c>
      <c r="K11" s="5" t="s">
        <v>24</v>
      </c>
    </row>
    <row r="12" spans="1:11" ht="100.8" x14ac:dyDescent="0.3">
      <c r="A12" s="5"/>
      <c r="B12" s="5" t="s">
        <v>35</v>
      </c>
      <c r="C12" s="6">
        <v>100000</v>
      </c>
      <c r="D12" s="15">
        <v>8.0357142857142847</v>
      </c>
      <c r="E12" s="15">
        <v>8.0357142857142847</v>
      </c>
      <c r="F12" s="15">
        <v>8.0357142857142794</v>
      </c>
      <c r="G12" s="15">
        <v>15.178571428571427</v>
      </c>
      <c r="H12" s="5" t="s">
        <v>29</v>
      </c>
      <c r="I12" s="5" t="s">
        <v>29</v>
      </c>
      <c r="J12" s="16">
        <v>624999.99999999988</v>
      </c>
      <c r="K12" s="5" t="s">
        <v>24</v>
      </c>
    </row>
    <row r="13" spans="1:11" ht="100.8" x14ac:dyDescent="0.3">
      <c r="A13" s="5"/>
      <c r="B13" s="5" t="s">
        <v>36</v>
      </c>
      <c r="C13" s="6">
        <v>142857</v>
      </c>
      <c r="D13" s="15">
        <v>8.0357142857142847</v>
      </c>
      <c r="E13" s="15">
        <v>8.0357142857142847</v>
      </c>
      <c r="F13" s="15">
        <v>8.0357142857142794</v>
      </c>
      <c r="G13" s="15">
        <v>15.178571428571427</v>
      </c>
      <c r="H13" s="5" t="s">
        <v>29</v>
      </c>
      <c r="I13" s="5" t="s">
        <v>29</v>
      </c>
      <c r="J13" s="16">
        <v>892857.14285714272</v>
      </c>
      <c r="K13" s="5" t="s">
        <v>24</v>
      </c>
    </row>
    <row r="14" spans="1:11" ht="100.8" x14ac:dyDescent="0.3">
      <c r="A14" s="5"/>
      <c r="B14" s="5" t="s">
        <v>37</v>
      </c>
      <c r="C14" s="6">
        <v>250000</v>
      </c>
      <c r="D14" s="15">
        <v>7.1428571428571423</v>
      </c>
      <c r="E14" s="15">
        <v>7.1428571428571423</v>
      </c>
      <c r="F14" s="15">
        <v>7.1428571428571397</v>
      </c>
      <c r="G14" s="15">
        <v>15.178571428571427</v>
      </c>
      <c r="H14" s="5" t="s">
        <v>29</v>
      </c>
      <c r="I14" s="5" t="s">
        <v>29</v>
      </c>
      <c r="J14" s="16">
        <v>1339285.7142857141</v>
      </c>
      <c r="K14" s="5" t="s">
        <v>24</v>
      </c>
    </row>
    <row r="15" spans="1:11" ht="100.8" x14ac:dyDescent="0.3">
      <c r="A15" s="5"/>
      <c r="B15" s="5" t="s">
        <v>38</v>
      </c>
      <c r="C15" s="6">
        <v>416667</v>
      </c>
      <c r="D15" s="15">
        <v>7.1428571428571423</v>
      </c>
      <c r="E15" s="15">
        <v>7.1428571428571423</v>
      </c>
      <c r="F15" s="15">
        <v>7.1428571428571397</v>
      </c>
      <c r="G15" s="15">
        <v>15.178571428571427</v>
      </c>
      <c r="H15" s="5" t="s">
        <v>29</v>
      </c>
      <c r="I15" s="5" t="s">
        <v>29</v>
      </c>
      <c r="J15" s="16">
        <v>2232142.8571428568</v>
      </c>
      <c r="K15" s="5" t="s">
        <v>24</v>
      </c>
    </row>
    <row r="16" spans="1:11" ht="100.8" x14ac:dyDescent="0.3">
      <c r="A16" s="5"/>
      <c r="B16" s="5" t="s">
        <v>39</v>
      </c>
      <c r="C16" s="6">
        <v>500000</v>
      </c>
      <c r="D16" s="15">
        <v>6.2499999999999991</v>
      </c>
      <c r="E16" s="15">
        <v>6.2499999999999991</v>
      </c>
      <c r="F16" s="15">
        <v>6.25</v>
      </c>
      <c r="G16" s="15">
        <v>15.178571428571427</v>
      </c>
      <c r="H16" s="5" t="s">
        <v>29</v>
      </c>
      <c r="I16" s="5" t="s">
        <v>29</v>
      </c>
      <c r="J16" s="16">
        <v>2678571.4285714282</v>
      </c>
      <c r="K16" s="5" t="s">
        <v>24</v>
      </c>
    </row>
    <row r="17" spans="1:11" ht="100.8" x14ac:dyDescent="0.3">
      <c r="A17" s="5"/>
      <c r="B17" s="5" t="s">
        <v>41</v>
      </c>
      <c r="C17" s="6">
        <v>670000</v>
      </c>
      <c r="D17" s="15">
        <v>4.4642857142857135</v>
      </c>
      <c r="E17" s="15">
        <v>4.4642857142857135</v>
      </c>
      <c r="F17" s="15">
        <v>6.25</v>
      </c>
      <c r="G17" s="15">
        <v>15.178571428571427</v>
      </c>
      <c r="H17" s="5" t="s">
        <v>29</v>
      </c>
      <c r="I17" s="5" t="s">
        <v>29</v>
      </c>
      <c r="J17" s="16">
        <v>3571428.5714285709</v>
      </c>
      <c r="K17" s="5" t="s">
        <v>24</v>
      </c>
    </row>
    <row r="18" spans="1:11" ht="100.8" x14ac:dyDescent="0.3">
      <c r="A18" s="5"/>
      <c r="B18" s="5" t="s">
        <v>16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29</v>
      </c>
      <c r="I18" s="5" t="s">
        <v>17</v>
      </c>
      <c r="J18" s="5" t="s">
        <v>17</v>
      </c>
      <c r="K18" s="5" t="s">
        <v>24</v>
      </c>
    </row>
    <row r="20" spans="1:11" x14ac:dyDescent="0.3">
      <c r="A20" s="1" t="s">
        <v>1</v>
      </c>
    </row>
    <row r="21" spans="1:11" x14ac:dyDescent="0.3">
      <c r="A21" t="s">
        <v>18</v>
      </c>
    </row>
    <row r="22" spans="1:11" x14ac:dyDescent="0.3">
      <c r="A22" t="s">
        <v>19</v>
      </c>
    </row>
  </sheetData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A917EB-C065-416F-AFD5-93CE1384A7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9293523-566D-4E1F-828F-9F5E2F4513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6D7442-32FF-448A-AB3B-2D2B955FF52A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КП все тарифы</vt:lpstr>
      <vt:lpstr>Лист1</vt:lpstr>
      <vt:lpstr>Sheet2</vt:lpstr>
      <vt:lpstr>'КП все тарифы'!Область_печати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КП рус</dc:title>
  <dc:creator>Vladimir Kim</dc:creator>
  <cp:lastModifiedBy>Alexandr Murdassov</cp:lastModifiedBy>
  <cp:lastPrinted>2024-09-04T06:16:17Z</cp:lastPrinted>
  <dcterms:created xsi:type="dcterms:W3CDTF">2016-01-20T04:20:43Z</dcterms:created>
  <dcterms:modified xsi:type="dcterms:W3CDTF">2025-12-02T06:43:33Z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2025-09-09T10:08:58Z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11ee550c-e2e2-48bd-b23d-ec38d9c85261</vt:lpwstr>
  </property>
  <property fmtid="{D5CDD505-2E9C-101B-9397-08002B2CF9AE}" pid="9" name="MSIP_Label_9cdd97af-22dc-49fa-ac47-e24224ce56c4_ContentBits">
    <vt:lpwstr>0</vt:lpwstr>
  </property>
  <property fmtid="{D5CDD505-2E9C-101B-9397-08002B2CF9AE}" pid="10" name="MSIP_Label_9cdd97af-22dc-49fa-ac47-e24224ce56c4_Tag">
    <vt:lpwstr>10, 3, 0, 1</vt:lpwstr>
  </property>
</Properties>
</file>