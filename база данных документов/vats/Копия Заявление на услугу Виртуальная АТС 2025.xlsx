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lexandr.Murdassov\Downloads\база данных документов\vats\"/>
    </mc:Choice>
  </mc:AlternateContent>
  <xr:revisionPtr revIDLastSave="0" documentId="8_{024FAEE0-8E38-4239-911A-847B7A58EFA0}" xr6:coauthVersionLast="47" xr6:coauthVersionMax="47" xr10:uidLastSave="{00000000-0000-0000-0000-000000000000}"/>
  <bookViews>
    <workbookView xWindow="-108" yWindow="-108" windowWidth="23256" windowHeight="12456" xr2:uid="{00000000-000D-0000-FFFF-FFFF00000000}"/>
  </bookViews>
  <sheets>
    <sheet name="Заявление_Виртуальная_АТС" sheetId="1" r:id="rId1"/>
    <sheet name="Sheet2" sheetId="2" state="hidden" r:id="rId2"/>
  </sheets>
  <definedNames>
    <definedName name="_xlnm.Print_Area" localSheetId="0">Заявление_Виртуальная_АТС!$C$1:$L$94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1" l="1"/>
  <c r="I51" i="1"/>
  <c r="I41" i="1"/>
  <c r="H23" i="1"/>
  <c r="H24" i="1"/>
  <c r="I58" i="1"/>
  <c r="I34" i="1"/>
  <c r="I33" i="1"/>
  <c r="I40" i="1"/>
  <c r="I36" i="1"/>
  <c r="I37" i="1"/>
  <c r="I38" i="1"/>
  <c r="I39" i="1"/>
  <c r="H69" i="1"/>
  <c r="H68" i="1"/>
  <c r="H67" i="1"/>
  <c r="H66" i="1"/>
  <c r="H64" i="1"/>
  <c r="H63" i="1"/>
  <c r="H25" i="1"/>
  <c r="I59" i="1" s="1"/>
  <c r="H22" i="1"/>
  <c r="I35" i="1"/>
  <c r="I32" i="1"/>
  <c r="I31" i="1"/>
  <c r="J7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Dina Shigenova</author>
  </authors>
  <commentList>
    <comment ref="H72" authorId="0" shapeId="0" xr:uid="{00000000-0006-0000-0000-000001000000}">
      <text>
        <r>
          <rPr>
            <sz val="9"/>
            <color rgb="FF000000"/>
            <rFont val="Tahoma"/>
            <family val="2"/>
          </rPr>
          <t>В сумму не включены платежи за исходящие звонки сверх пакета и единовременный платеж за запись аудиоролика</t>
        </r>
        <r>
          <rPr>
            <sz val="9"/>
            <color rgb="FF000000"/>
            <rFont val="Tahoma"/>
            <family val="2"/>
          </rPr>
          <t xml:space="preserve">
</t>
        </r>
      </text>
    </comment>
  </commentList>
</comments>
</file>

<file path=xl/sharedStrings.xml><?xml version="1.0" encoding="utf-8"?>
<sst xmlns="http://schemas.openxmlformats.org/spreadsheetml/2006/main" count="203" uniqueCount="142">
  <si>
    <t>Данное письмо подлежит исполнению на фирменном бланке Вашей компании</t>
  </si>
  <si>
    <t xml:space="preserve">Исх.№ </t>
  </si>
  <si>
    <t>(укажите)</t>
  </si>
  <si>
    <t xml:space="preserve">Дата </t>
  </si>
  <si>
    <t>ЗАЯВЛЕНИЕ</t>
  </si>
  <si>
    <t>на подключение услуги «Виртуальная АТС»</t>
  </si>
  <si>
    <t>Настоящим,</t>
  </si>
  <si>
    <t xml:space="preserve">(далее - Компания) просит Вас подключить услугу «Виртуальная АТС» </t>
  </si>
  <si>
    <t>(Далее - Услуга) для совершения и приема звонков со следующими параметрами:</t>
  </si>
  <si>
    <t>Конфигурация Услуги</t>
  </si>
  <si>
    <t>(выберите из списка)</t>
  </si>
  <si>
    <t>Стоимость подключения</t>
  </si>
  <si>
    <t>тенге</t>
  </si>
  <si>
    <t>Ежемесячная плата за Услугу в месяц*</t>
  </si>
  <si>
    <t>- включено Виртуальных номеров</t>
  </si>
  <si>
    <t>шт</t>
  </si>
  <si>
    <t>- включено Пользователей (внут номеров)**</t>
  </si>
  <si>
    <t>чел</t>
  </si>
  <si>
    <t>Количество дополнительных Виртуальных номеров</t>
  </si>
  <si>
    <t>Количество дополнительных Пользователей</t>
  </si>
  <si>
    <t>*Абонентская плата по Услуге за месяц, в котором было подключение Услуги, начисляется Компанией пропорционально количеству дней, оставшихся до конца календарного месяца, включая день подключения, а затем 1-го числа каждого месяца в полном размере. Цены указаны в тенге с учетом НДС
**Общее количество сессий предоставляется из расчета один Пользователь 2 сессии (единовременных звонка)</t>
  </si>
  <si>
    <t>Дополнительные услуги</t>
  </si>
  <si>
    <t>Модуль «Статистика», ежемесячно</t>
  </si>
  <si>
    <t>Не подключать</t>
  </si>
  <si>
    <t>Модуль «Контроль качества», ежемесячно</t>
  </si>
  <si>
    <t>Модуль «Интеграция с CRM», ежемесячно</t>
  </si>
  <si>
    <t>Модуль «SIP регистрация», ежемесячно</t>
  </si>
  <si>
    <r>
      <t>Тарифный план</t>
    </r>
    <r>
      <rPr>
        <sz val="8"/>
        <color rgb="FF000000"/>
        <rFont val="Arial"/>
        <family val="2"/>
      </rPr>
      <t xml:space="preserve"> </t>
    </r>
  </si>
  <si>
    <t>Ежемесячная абонентская плата*</t>
  </si>
  <si>
    <t>Ежемесячный пакет минут для звонков на номера всех мобильных операторов по Казахстану**</t>
  </si>
  <si>
    <t>минут</t>
  </si>
  <si>
    <t>Исходящие звонки сверх пакета минут:</t>
  </si>
  <si>
    <t xml:space="preserve">Стоимость, тенге с НДС </t>
  </si>
  <si>
    <t>Шаг тарификации</t>
  </si>
  <si>
    <t xml:space="preserve">Внутри виртуальной АТС (на внутренние номера) и внутри корпоративной группы, за 1 минуту
</t>
  </si>
  <si>
    <t>1 сек</t>
  </si>
  <si>
    <t>Внутри сети Kcell, Activ, за 1 минуту</t>
  </si>
  <si>
    <t>На других сотовых операторов РК, за 1 минуту</t>
  </si>
  <si>
    <t>На городские номера РК, за 1 минуту</t>
  </si>
  <si>
    <t>Доступ на международные направления:</t>
  </si>
  <si>
    <t>По заявлению "Звонки без границ"</t>
  </si>
  <si>
    <t>*В абонентскую плату включена стоимость ежемесячного пакета минут для звонков на номера всех сотовых операторов по Казахстану, кроме звонков внутри виртуальной АТС и внутри корпоративной группы. При подключении любого из тарифных планов абонентская плата списывается пропорционально количеству дней, оставшихся до конца календарного месяца, включая день подключения и затем каждое 1-ое число месяца в полном размере. При списании абонентской платы включенный бонусный пакет минут по тарифным планам будет предоставлен в полном объеме. Тарифы указаны в тенге с учетом НДС
** минуты в пакете действуют в течение календарного месяца и на следующий месяц не переносятся.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t>
  </si>
  <si>
    <t>Итого, ежемесячно</t>
  </si>
  <si>
    <t>а также уведомляет, что лицо, конакты которого указаны ниже, назначено администратором Услуги и уполномочено получать уведомления и управлять Услугой в веб-интерфейсе от имени и в интересах Компании с соблюдением установленных  АО «Кселл» условий пользования Услугой. Компания, а также администратор Услуги самостоятельно несет полную ответственность за сохранность служебной информации, предоставляемой в рамках Услуги, а также данных для доступа к Услуге с момента получения администратором доступа к Услуге. 
Компания также соглашается, что отправка администратором короткого текстового сообщения на Сервисный номер, означает согласие Компании на предоставление ему в рамках Услуги информации по Компании, Лицевым счетам, подключенным услугам и иной информации, предоставляемой в рамках Услуги, а действия, совершаемые администратором в рамках Услуги приравниваются к заявлению Компании в случаях, когда такое заявление требуется в соответствии с законодательством.</t>
  </si>
  <si>
    <t>Администратор</t>
  </si>
  <si>
    <t>(фамилия, имя)</t>
  </si>
  <si>
    <t>(телефон)</t>
  </si>
  <si>
    <t>(e-mail)</t>
  </si>
  <si>
    <t>Предпочитаемый домен для доступа к личному кабинету</t>
  </si>
  <si>
    <t>(укажите, только латинские и цифры)</t>
  </si>
  <si>
    <t>.vpbx.kcell.kz</t>
  </si>
  <si>
    <t>Реквизиты Компании:</t>
  </si>
  <si>
    <t>Юридическое название:</t>
  </si>
  <si>
    <t>(Пример: ТОО "ABC")</t>
  </si>
  <si>
    <t>Юридический адрес:</t>
  </si>
  <si>
    <t>(Пример: г. Алматы, Медеуский район, улица Алимжанова, дом 51)</t>
  </si>
  <si>
    <t>БИН:</t>
  </si>
  <si>
    <t>(12 цифр)</t>
  </si>
  <si>
    <t>IBAN:</t>
  </si>
  <si>
    <t>(KZ и 18 цифр)</t>
  </si>
  <si>
    <t>SWIFT:</t>
  </si>
  <si>
    <t>(8 букв)</t>
  </si>
  <si>
    <t>Кбе:</t>
  </si>
  <si>
    <t>(число)</t>
  </si>
  <si>
    <t>Название банка:</t>
  </si>
  <si>
    <t>(Пример: АО «Казкоммерцбанк», г.Алматы)</t>
  </si>
  <si>
    <t>Свидетельство о постановке на учет НДС:</t>
  </si>
  <si>
    <t>(указать,если есть св-во НДС)</t>
  </si>
  <si>
    <t>Адрес для отправки актов:</t>
  </si>
  <si>
    <t>(Город, район, улица, номер дома, офис)</t>
  </si>
  <si>
    <t>Ответственный за корреспонденцию:</t>
  </si>
  <si>
    <t xml:space="preserve">Ф.И.О  Руководителя </t>
  </si>
  <si>
    <t>(ФИО)</t>
  </si>
  <si>
    <t>МП(оригинал)</t>
  </si>
  <si>
    <t>(подпись)</t>
  </si>
  <si>
    <t>Компания</t>
  </si>
  <si>
    <t>(Название компании)</t>
  </si>
  <si>
    <t>Подключение</t>
  </si>
  <si>
    <t>АП</t>
  </si>
  <si>
    <t>virtual numbers</t>
  </si>
  <si>
    <t>extension</t>
  </si>
  <si>
    <t>Пакет 5</t>
  </si>
  <si>
    <t>Пакет 15</t>
  </si>
  <si>
    <t>Пакет 30</t>
  </si>
  <si>
    <t>Пакет 50</t>
  </si>
  <si>
    <t>Пакет 80</t>
  </si>
  <si>
    <t>Пакет 150</t>
  </si>
  <si>
    <t>Пакет 200</t>
  </si>
  <si>
    <t>Подключить</t>
  </si>
  <si>
    <t>Модуль «Инструменты для отделов продаж»</t>
  </si>
  <si>
    <t>При подключении допуслуги "Контроль качетсва", Абонент руководствуется инструкциями, указанными в личном кабинете. При этом, произведенная Абонентом запись разговора хранится не более 6 месяцев с даты записи. Абонент самостоятельно, используя настройки допуслуги осуществляет уведомление абонентов о производимой записи разговоров и несет за это ответственность в соответствии с действующим законодательством РК. При этом Оператор не несет ответственность за передачу/доступ третьих лиц к записям разговоров.</t>
  </si>
  <si>
    <t>Модуль «Интеграция с CRM»</t>
  </si>
  <si>
    <t xml:space="preserve"> </t>
  </si>
  <si>
    <t>Модуль «Аналитика»</t>
  </si>
  <si>
    <t>Модуль «Подключение физической АТС»</t>
  </si>
  <si>
    <t>Запись IVR на одном языке</t>
  </si>
  <si>
    <t>Модуль "SIP регистрация"</t>
  </si>
  <si>
    <t>Модуль "FMC"</t>
  </si>
  <si>
    <t xml:space="preserve">К дополнительной услуге "FMC" подключаются только SIM карты корпоративной группы Кселл. При этом, списание Абонентской Платы происходит согласно условиям тарифного плана на SIM карте Абонента.  Для осуществления звонков по короткой нумерации внутри домена Виртуальной АТС, необходимо использовать префикс ** перед номером, за звонки, совершенные иным способ, Оператор ответственности не несет и не гарантирует корректность тарификации по ним.  Дополнительная услуга FMC несовместима с услугой FreePhone (Бесплатный вызов) в связи с техническими ограничениями. С условиями оказания дополнительной услуги ознакомлены и согласны, включая, но, не ограничиваясь: услуга доступна при наличии на балансе средств, достаточных для оплаты услуг связи (при авансовом порядке расчетов) и в пределах кредитного лимита (при кредитном порядке расчетов).
</t>
  </si>
  <si>
    <t>MIN</t>
  </si>
  <si>
    <t>CUG</t>
  </si>
  <si>
    <t>ONNET</t>
  </si>
  <si>
    <t>OFFNET</t>
  </si>
  <si>
    <t>PSTN</t>
  </si>
  <si>
    <t>Виртуальный 5</t>
  </si>
  <si>
    <t>*В абонентскую плату включена стоимость ежемесячного пакета минут для звонков на номера всех сотовых операторов по Казахстану, кроме звонков внутри виртуальной АТС и внутри корпоративной группы. При подключении любого из тарифных планов абонентская плата списывается пропорционально количеству дней, оставшихся до конца календарного месяца, включая день подключения и затем каждое 1-ое число месяца в полном размере. При списании абонентской платы включенный бонусный пакет минут по тарифным планам будет предоставлен в полном объеме. Тарифы указаны в тенге с учетом НДС
** минуты в пакете действуют в течение календарного месяца и на следующий месяц не переносятся.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t>
  </si>
  <si>
    <t>Виртуальный 10</t>
  </si>
  <si>
    <t>Виртуальный 30</t>
  </si>
  <si>
    <t>Виртуальный 50</t>
  </si>
  <si>
    <t>Виртуальный 150</t>
  </si>
  <si>
    <t>Виртуальный 200</t>
  </si>
  <si>
    <t>Виртуальный 600</t>
  </si>
  <si>
    <t>Виртуальный 700</t>
  </si>
  <si>
    <t>Виртуальный 1 MLN</t>
  </si>
  <si>
    <t>Открыть</t>
  </si>
  <si>
    <t>Закрыть</t>
  </si>
  <si>
    <t>Директору Департамента по развитию бизнес рынка
Г-же Касымовой Д. Т.</t>
  </si>
  <si>
    <t>Модуль «Оценка качества обслуживания», ежемесячно</t>
  </si>
  <si>
    <t>Модуль «Номер в очереди», ежемесячно</t>
  </si>
  <si>
    <t>Модуль «Онлайн прослушивание и суфлирование», ежемесячно</t>
  </si>
  <si>
    <t>Модуль «Комнаты конференций», ежемесячно</t>
  </si>
  <si>
    <t>Модуль «Автообзвон», ежемесячно</t>
  </si>
  <si>
    <t>Модуль «Оценка качества обслуживания»</t>
  </si>
  <si>
    <t>Модуль «Номер в очереди»</t>
  </si>
  <si>
    <t>Модуль «Онлайн прослушивание и суфлирование»</t>
  </si>
  <si>
    <t>Модуль «Комнаты конференций»</t>
  </si>
  <si>
    <t>Модуль «Автообзвон»</t>
  </si>
  <si>
    <t>Модуль «Заказ обратного звонка с сайта», ежемесячно</t>
  </si>
  <si>
    <t>Модуль «Речевая аналитика»</t>
  </si>
  <si>
    <t>Речевая аналитика</t>
  </si>
  <si>
    <t>* При подключении модуля все ранее подключенные пользователи, включая бесплатные, переходят на платную основу
**Абонентская плата по Услуге за месяц, в котором было подключение Услуги, начисляется Компанией пропорционально количеству дней, оставшихся до конца календарного месяца, включая день подключения, а затем 1-го числа каждого месяца в полном размере. Цены указаны в тенге с учетом НДС</t>
  </si>
  <si>
    <t>Ежемесячная  плата за пользователей "Речевой аналитики "* **</t>
  </si>
  <si>
    <t>Модуль "Речевая аналитика" ежемесячно* **</t>
  </si>
  <si>
    <t>Модуль «Карусель номеров»</t>
  </si>
  <si>
    <t>Модуль «Карусель номеров», ежемесячно</t>
  </si>
  <si>
    <t xml:space="preserve">Пакет «Эффективные продажи»  </t>
  </si>
  <si>
    <t>Пакет «Колл-центр»</t>
  </si>
  <si>
    <t>Модуль «Уведомление о номере в очереди», ежемесячно</t>
  </si>
  <si>
    <t>Модуль «Оценка качества обслуживания» , ежемесячно</t>
  </si>
  <si>
    <t>Модуль «Уведомление о пропущенных звонках», ежемесячно</t>
  </si>
  <si>
    <t>Модуль «Виджет обратного звонка с сайта» , ежемесячно</t>
  </si>
  <si>
    <t>Модуль «Мониторинг очередей», ежемесячно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</si>
</sst>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 &quot;* #,##0&quot; &quot;;&quot; &quot;* &quot;(&quot;#,##0&quot;)&quot;;&quot; &quot;* &quot;-&quot;#&quot; &quot;;&quot; &quot;@&quot; &quot;"/>
    <numFmt numFmtId="165" formatCode="dd&quot;.&quot;mm&quot;.&quot;yyyy"/>
    <numFmt numFmtId="166" formatCode="&quot; &quot;* #,##0.00&quot; &quot;;&quot; &quot;* &quot;(&quot;#,##0.00&quot;)&quot;;&quot; &quot;* &quot;-&quot;#&quot; &quot;;&quot; &quot;@&quot; &quot;"/>
  </numFmts>
  <fonts count="19" x14ac:knownFonts="1">
    <font>
      <sz val="11"/>
      <color rgb="FF000000"/>
      <name val="Calibri"/>
      <family val="2"/>
    </font>
    <font>
      <sz val="11"/>
      <color rgb="FF000000"/>
      <name val="Calibri"/>
      <family val="2"/>
    </font>
    <font>
      <b/>
      <i/>
      <sz val="10"/>
      <color rgb="FF000000"/>
      <name val="Arial"/>
      <family val="2"/>
    </font>
    <font>
      <sz val="10"/>
      <color rgb="FF000000"/>
      <name val="Arial"/>
      <family val="2"/>
    </font>
    <font>
      <i/>
      <sz val="10"/>
      <color rgb="FF595959"/>
      <name val="Arial"/>
      <family val="2"/>
    </font>
    <font>
      <b/>
      <sz val="10"/>
      <color rgb="FF000000"/>
      <name val="Arial"/>
      <family val="2"/>
    </font>
    <font>
      <u/>
      <sz val="10"/>
      <color rgb="FF595959"/>
      <name val="Arial"/>
      <family val="2"/>
    </font>
    <font>
      <i/>
      <sz val="8"/>
      <color rgb="FF595959"/>
      <name val="Arial"/>
      <family val="2"/>
    </font>
    <font>
      <b/>
      <sz val="8"/>
      <color rgb="FF000000"/>
      <name val="Arial"/>
      <family val="2"/>
    </font>
    <font>
      <sz val="8"/>
      <color rgb="FF000000"/>
      <name val="Arial"/>
      <family val="2"/>
    </font>
    <font>
      <sz val="9"/>
      <color rgb="FF000000"/>
      <name val="Tahoma"/>
      <family val="2"/>
    </font>
    <font>
      <sz val="8"/>
      <color rgb="FF595959"/>
      <name val="Arial"/>
      <family val="2"/>
    </font>
    <font>
      <i/>
      <sz val="9"/>
      <color rgb="FF595959"/>
      <name val="Arial"/>
      <family val="2"/>
    </font>
    <font>
      <sz val="7"/>
      <color rgb="FF000000"/>
      <name val="Arial"/>
      <family val="2"/>
    </font>
    <font>
      <i/>
      <sz val="12"/>
      <color rgb="FF000000"/>
      <name val="Times New Roman"/>
      <family val="1"/>
    </font>
    <font>
      <i/>
      <sz val="11"/>
      <color rgb="FF595959"/>
      <name val="Calibri"/>
      <family val="2"/>
    </font>
    <font>
      <i/>
      <sz val="11"/>
      <color rgb="FF000000"/>
      <name val="Calibri"/>
      <family val="2"/>
    </font>
    <font>
      <sz val="11"/>
      <color rgb="FFFF0000"/>
      <name val="Calibri"/>
      <family val="2"/>
    </font>
    <font>
      <b/>
      <sz val="8"/>
      <color rgb="FF000000"/>
      <name val="Arial"/>
      <family val="2"/>
      <charset val="204"/>
    </font>
  </fonts>
  <fills count="6">
    <fill>
      <patternFill patternType="none"/>
    </fill>
    <fill>
      <patternFill patternType="gray125"/>
    </fill>
    <fill>
      <patternFill patternType="solid">
        <fgColor rgb="FFFFFFFF"/>
        <bgColor rgb="FFFFFFFF"/>
      </patternFill>
    </fill>
    <fill>
      <patternFill patternType="solid">
        <fgColor rgb="FFDCE6F1"/>
        <bgColor rgb="FFDCE6F1"/>
      </patternFill>
    </fill>
    <fill>
      <patternFill patternType="solid">
        <fgColor rgb="FFFFFF00"/>
        <bgColor indexed="64"/>
      </patternFill>
    </fill>
    <fill>
      <patternFill patternType="solid">
        <fgColor theme="0"/>
        <bgColor rgb="FFFFFFFF"/>
      </patternFill>
    </fill>
  </fills>
  <borders count="2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166" fontId="1" fillId="0" borderId="0" applyFont="0" applyFill="0" applyBorder="0" applyAlignment="0" applyProtection="0"/>
  </cellStyleXfs>
  <cellXfs count="121">
    <xf numFmtId="0" fontId="0" fillId="0" borderId="0" xfId="0"/>
    <xf numFmtId="0" fontId="3" fillId="2" borderId="0" xfId="0" applyFont="1" applyFill="1" applyAlignment="1" applyProtection="1">
      <alignment horizontal="center"/>
      <protection locked="0"/>
    </xf>
    <xf numFmtId="0" fontId="0" fillId="2" borderId="0" xfId="0" applyFill="1"/>
    <xf numFmtId="0" fontId="3" fillId="2" borderId="0" xfId="0" applyFont="1" applyFill="1" applyAlignment="1" applyProtection="1">
      <alignment horizontal="right" vertical="center"/>
      <protection locked="0"/>
    </xf>
    <xf numFmtId="0" fontId="3" fillId="2" borderId="0" xfId="0" applyFont="1" applyFill="1"/>
    <xf numFmtId="0" fontId="3" fillId="2" borderId="0" xfId="0" applyFont="1" applyFill="1" applyAlignment="1">
      <alignment horizontal="right" vertical="center"/>
    </xf>
    <xf numFmtId="0" fontId="3" fillId="2" borderId="0" xfId="0" applyFont="1" applyFill="1" applyAlignment="1">
      <alignment horizontal="center" wrapText="1"/>
    </xf>
    <xf numFmtId="0" fontId="3" fillId="2" borderId="0" xfId="0" applyFont="1" applyFill="1" applyAlignment="1">
      <alignment horizontal="left"/>
    </xf>
    <xf numFmtId="0" fontId="4" fillId="2" borderId="0" xfId="0" applyFont="1" applyFill="1" applyAlignment="1">
      <alignment horizontal="center"/>
    </xf>
    <xf numFmtId="0" fontId="4" fillId="2" borderId="0" xfId="0" applyFont="1" applyFill="1" applyAlignment="1" applyProtection="1">
      <alignment horizontal="center"/>
      <protection locked="0"/>
    </xf>
    <xf numFmtId="0" fontId="6" fillId="2" borderId="0" xfId="0" applyFont="1" applyFill="1" applyAlignment="1" applyProtection="1">
      <alignment horizontal="center"/>
      <protection locked="0"/>
    </xf>
    <xf numFmtId="0" fontId="6" fillId="2" borderId="0" xfId="0" applyFont="1" applyFill="1" applyAlignment="1">
      <alignment horizontal="center"/>
    </xf>
    <xf numFmtId="0" fontId="7" fillId="2" borderId="0" xfId="0" applyFont="1" applyFill="1" applyAlignment="1">
      <alignment horizontal="center"/>
    </xf>
    <xf numFmtId="0" fontId="8" fillId="2" borderId="1" xfId="0" applyFont="1" applyFill="1" applyBorder="1" applyAlignment="1">
      <alignment vertical="center" wrapText="1"/>
    </xf>
    <xf numFmtId="0" fontId="9" fillId="2" borderId="2" xfId="0" applyFont="1" applyFill="1" applyBorder="1" applyAlignment="1">
      <alignment horizontal="center" vertical="center"/>
    </xf>
    <xf numFmtId="0" fontId="9" fillId="2" borderId="0" xfId="0" applyFont="1" applyFill="1" applyAlignment="1">
      <alignment horizontal="left" wrapText="1"/>
    </xf>
    <xf numFmtId="0" fontId="9" fillId="2" borderId="0" xfId="0" applyFont="1" applyFill="1" applyAlignment="1">
      <alignment horizontal="left"/>
    </xf>
    <xf numFmtId="0" fontId="9" fillId="2" borderId="1" xfId="0" applyFont="1" applyFill="1" applyBorder="1" applyAlignment="1">
      <alignment horizontal="center"/>
    </xf>
    <xf numFmtId="0" fontId="7" fillId="3" borderId="2" xfId="0" applyFont="1" applyFill="1" applyBorder="1" applyAlignment="1" applyProtection="1">
      <alignment horizontal="center"/>
      <protection locked="0"/>
    </xf>
    <xf numFmtId="0" fontId="9" fillId="0" borderId="2" xfId="0" applyFont="1" applyBorder="1" applyAlignment="1">
      <alignment horizontal="center"/>
    </xf>
    <xf numFmtId="0" fontId="9" fillId="0" borderId="2" xfId="0" applyFont="1" applyBorder="1" applyAlignment="1">
      <alignment horizontal="center" vertical="center"/>
    </xf>
    <xf numFmtId="0" fontId="9" fillId="2" borderId="0" xfId="0" applyFont="1" applyFill="1" applyAlignment="1">
      <alignment wrapText="1"/>
    </xf>
    <xf numFmtId="0" fontId="9" fillId="2" borderId="0" xfId="0" applyFont="1" applyFill="1"/>
    <xf numFmtId="0" fontId="9" fillId="0" borderId="0" xfId="0" applyFont="1"/>
    <xf numFmtId="0" fontId="8" fillId="0" borderId="2" xfId="0" applyFont="1" applyBorder="1" applyAlignment="1">
      <alignment horizontal="center" vertical="center" wrapText="1"/>
    </xf>
    <xf numFmtId="0" fontId="3" fillId="0" borderId="0" xfId="0" applyFont="1"/>
    <xf numFmtId="0" fontId="9" fillId="2" borderId="2" xfId="0" applyFont="1" applyFill="1" applyBorder="1" applyAlignment="1">
      <alignment vertical="center"/>
    </xf>
    <xf numFmtId="0" fontId="3" fillId="2" borderId="0" xfId="0" applyFont="1" applyFill="1" applyAlignment="1">
      <alignment vertical="center"/>
    </xf>
    <xf numFmtId="1" fontId="9" fillId="2" borderId="2" xfId="0" applyNumberFormat="1" applyFont="1" applyFill="1" applyBorder="1" applyAlignment="1">
      <alignment horizontal="left"/>
    </xf>
    <xf numFmtId="0" fontId="3" fillId="2" borderId="0" xfId="0" applyFont="1" applyFill="1" applyAlignment="1">
      <alignment horizontal="right"/>
    </xf>
    <xf numFmtId="1" fontId="5" fillId="2" borderId="0" xfId="0" applyNumberFormat="1" applyFont="1" applyFill="1" applyAlignment="1">
      <alignment horizontal="center"/>
    </xf>
    <xf numFmtId="0" fontId="3" fillId="2" borderId="0" xfId="0" applyFont="1" applyFill="1" applyAlignment="1">
      <alignment horizontal="left" wrapText="1"/>
    </xf>
    <xf numFmtId="0" fontId="7" fillId="3" borderId="0" xfId="0" applyFont="1" applyFill="1" applyAlignment="1" applyProtection="1">
      <alignment horizontal="center" wrapText="1"/>
      <protection locked="0"/>
    </xf>
    <xf numFmtId="0" fontId="7" fillId="3" borderId="1" xfId="0" applyFont="1" applyFill="1" applyBorder="1" applyAlignment="1" applyProtection="1">
      <alignment horizontal="center"/>
      <protection locked="0"/>
    </xf>
    <xf numFmtId="0" fontId="7" fillId="3" borderId="4" xfId="0" applyFont="1" applyFill="1" applyBorder="1" applyAlignment="1" applyProtection="1">
      <alignment horizontal="center" wrapText="1"/>
      <protection locked="0"/>
    </xf>
    <xf numFmtId="0" fontId="11" fillId="3" borderId="4" xfId="0" applyFont="1" applyFill="1" applyBorder="1" applyAlignment="1" applyProtection="1">
      <alignment horizontal="center" wrapText="1"/>
      <protection locked="0"/>
    </xf>
    <xf numFmtId="0" fontId="13" fillId="2" borderId="0" xfId="0" applyFont="1" applyFill="1" applyAlignment="1">
      <alignment horizontal="left" wrapText="1"/>
    </xf>
    <xf numFmtId="0" fontId="13" fillId="2" borderId="0" xfId="0" applyFont="1" applyFill="1" applyAlignment="1">
      <alignment horizontal="left"/>
    </xf>
    <xf numFmtId="0" fontId="14" fillId="2" borderId="0" xfId="0" applyFont="1" applyFill="1" applyAlignment="1">
      <alignment horizontal="right"/>
    </xf>
    <xf numFmtId="0" fontId="0" fillId="2" borderId="0" xfId="0" applyFill="1" applyAlignment="1">
      <alignment horizontal="center"/>
    </xf>
    <xf numFmtId="0" fontId="0" fillId="0" borderId="0" xfId="0" applyAlignment="1">
      <alignment horizontal="center" vertical="center" wrapText="1"/>
    </xf>
    <xf numFmtId="0" fontId="16" fillId="0" borderId="0" xfId="0" applyFont="1" applyAlignment="1">
      <alignment vertical="center" wrapText="1"/>
    </xf>
    <xf numFmtId="0" fontId="0" fillId="0" borderId="0" xfId="0" applyAlignment="1">
      <alignment vertical="center" wrapText="1"/>
    </xf>
    <xf numFmtId="0" fontId="17" fillId="0" borderId="0" xfId="0" applyFont="1"/>
    <xf numFmtId="0" fontId="17" fillId="0" borderId="0" xfId="0" applyFont="1" applyAlignment="1">
      <alignment wrapText="1"/>
    </xf>
    <xf numFmtId="164" fontId="0" fillId="0" borderId="0" xfId="1" applyNumberFormat="1" applyFont="1" applyAlignment="1">
      <alignment vertical="center" wrapText="1"/>
    </xf>
    <xf numFmtId="0" fontId="16" fillId="0" borderId="0" xfId="0" applyFont="1"/>
    <xf numFmtId="0" fontId="9" fillId="2" borderId="2" xfId="0" applyFont="1" applyFill="1" applyBorder="1" applyAlignment="1">
      <alignment horizontal="left" wrapText="1"/>
    </xf>
    <xf numFmtId="0" fontId="7" fillId="3" borderId="1" xfId="0" applyFont="1" applyFill="1" applyBorder="1" applyAlignment="1" applyProtection="1">
      <alignment horizontal="center" vertical="center" wrapText="1"/>
      <protection locked="0"/>
    </xf>
    <xf numFmtId="0" fontId="0" fillId="4" borderId="0" xfId="0" applyFill="1"/>
    <xf numFmtId="0" fontId="8" fillId="2" borderId="0" xfId="0" applyFont="1" applyFill="1" applyAlignment="1">
      <alignment vertical="center"/>
    </xf>
    <xf numFmtId="0" fontId="9" fillId="0" borderId="5" xfId="0" applyFont="1" applyBorder="1" applyAlignment="1">
      <alignment horizontal="center" vertical="center"/>
    </xf>
    <xf numFmtId="0" fontId="7" fillId="3" borderId="16" xfId="0" applyFont="1" applyFill="1" applyBorder="1" applyAlignment="1" applyProtection="1">
      <alignment horizontal="center" vertical="center"/>
      <protection locked="0"/>
    </xf>
    <xf numFmtId="0" fontId="7" fillId="3" borderId="13" xfId="0" applyFont="1" applyFill="1" applyBorder="1" applyAlignment="1" applyProtection="1">
      <alignment horizontal="center" vertical="center"/>
      <protection locked="0"/>
    </xf>
    <xf numFmtId="0" fontId="7" fillId="3" borderId="19" xfId="0" applyFont="1" applyFill="1" applyBorder="1" applyAlignment="1" applyProtection="1">
      <alignment horizontal="center" vertical="center"/>
      <protection locked="0"/>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21" xfId="0" applyFont="1" applyBorder="1" applyAlignment="1">
      <alignment horizontal="center" vertical="center"/>
    </xf>
    <xf numFmtId="0" fontId="9" fillId="2" borderId="11" xfId="0" applyFont="1" applyFill="1" applyBorder="1" applyAlignment="1">
      <alignment horizontal="left" wrapText="1"/>
    </xf>
    <xf numFmtId="0" fontId="9" fillId="2" borderId="4" xfId="0" applyFont="1" applyFill="1" applyBorder="1" applyAlignment="1">
      <alignment horizontal="left" wrapText="1"/>
    </xf>
    <xf numFmtId="0" fontId="9" fillId="2" borderId="5" xfId="0" applyFont="1" applyFill="1" applyBorder="1" applyAlignment="1">
      <alignment horizontal="left" wrapText="1"/>
    </xf>
    <xf numFmtId="0" fontId="9" fillId="2" borderId="14" xfId="0" applyFont="1" applyFill="1" applyBorder="1" applyAlignment="1">
      <alignment horizontal="left" wrapText="1"/>
    </xf>
    <xf numFmtId="0" fontId="9" fillId="2" borderId="2" xfId="0" applyFont="1" applyFill="1" applyBorder="1" applyAlignment="1">
      <alignment horizontal="left" vertical="center" indent="1"/>
    </xf>
    <xf numFmtId="1" fontId="9" fillId="2" borderId="2" xfId="0" applyNumberFormat="1" applyFont="1" applyFill="1" applyBorder="1" applyAlignment="1">
      <alignment horizontal="center" vertical="center"/>
    </xf>
    <xf numFmtId="0" fontId="9" fillId="2" borderId="2" xfId="0" applyFont="1" applyFill="1" applyBorder="1" applyAlignment="1">
      <alignment horizontal="left" vertical="center"/>
    </xf>
    <xf numFmtId="0" fontId="0" fillId="3" borderId="2" xfId="0" applyFill="1" applyBorder="1" applyAlignment="1" applyProtection="1">
      <alignment horizontal="center"/>
      <protection locked="0"/>
    </xf>
    <xf numFmtId="0" fontId="18" fillId="2" borderId="0" xfId="0" applyFont="1" applyFill="1" applyAlignment="1">
      <alignment horizontal="center" wrapText="1"/>
    </xf>
    <xf numFmtId="0" fontId="9" fillId="2" borderId="2" xfId="0" applyFont="1" applyFill="1" applyBorder="1" applyAlignment="1">
      <alignment horizontal="left" wrapText="1"/>
    </xf>
    <xf numFmtId="0" fontId="9" fillId="0" borderId="2" xfId="0" applyFont="1" applyBorder="1" applyAlignment="1">
      <alignment horizontal="center" vertical="center" wrapText="1"/>
    </xf>
    <xf numFmtId="0" fontId="8" fillId="2" borderId="1" xfId="0" applyFont="1" applyFill="1" applyBorder="1" applyAlignment="1">
      <alignment horizontal="right" wrapText="1"/>
    </xf>
    <xf numFmtId="0" fontId="9" fillId="2" borderId="2" xfId="0" applyFont="1" applyFill="1" applyBorder="1" applyAlignment="1">
      <alignment horizontal="left" vertical="center" wrapText="1"/>
    </xf>
    <xf numFmtId="0" fontId="2" fillId="2" borderId="0" xfId="0" applyFont="1" applyFill="1" applyAlignment="1" applyProtection="1">
      <alignment horizontal="center"/>
      <protection locked="0"/>
    </xf>
    <xf numFmtId="0" fontId="0" fillId="2" borderId="0" xfId="0" applyFill="1"/>
    <xf numFmtId="0" fontId="4" fillId="3" borderId="0" xfId="0" applyFont="1" applyFill="1" applyAlignment="1" applyProtection="1">
      <alignment horizontal="center" wrapText="1"/>
      <protection locked="0"/>
    </xf>
    <xf numFmtId="165" fontId="4" fillId="3" borderId="0" xfId="0" applyNumberFormat="1" applyFont="1" applyFill="1" applyAlignment="1" applyProtection="1">
      <alignment horizontal="center" wrapText="1"/>
      <protection locked="0"/>
    </xf>
    <xf numFmtId="0" fontId="3" fillId="2" borderId="0" xfId="0" applyFont="1" applyFill="1" applyAlignment="1">
      <alignment horizontal="left" vertical="top" wrapText="1"/>
    </xf>
    <xf numFmtId="0" fontId="5" fillId="2" borderId="0" xfId="0"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left"/>
    </xf>
    <xf numFmtId="0" fontId="7" fillId="3" borderId="1" xfId="0" applyFont="1" applyFill="1" applyBorder="1" applyAlignment="1" applyProtection="1">
      <alignment horizontal="center" vertical="center" wrapText="1"/>
      <protection locked="0"/>
    </xf>
    <xf numFmtId="0" fontId="9" fillId="2" borderId="0" xfId="0" applyFont="1" applyFill="1" applyAlignment="1">
      <alignment horizontal="left" wrapText="1"/>
    </xf>
    <xf numFmtId="0" fontId="8" fillId="2" borderId="0" xfId="0" applyFont="1" applyFill="1" applyAlignment="1">
      <alignment horizontal="right" vertical="center"/>
    </xf>
    <xf numFmtId="0" fontId="9" fillId="2" borderId="2" xfId="0" applyFont="1" applyFill="1" applyBorder="1" applyAlignment="1">
      <alignment horizontal="left"/>
    </xf>
    <xf numFmtId="0" fontId="9" fillId="0" borderId="2" xfId="0" applyFont="1" applyBorder="1" applyAlignment="1">
      <alignment horizontal="center" wrapText="1"/>
    </xf>
    <xf numFmtId="0" fontId="9" fillId="2" borderId="2" xfId="0" applyFont="1" applyFill="1" applyBorder="1" applyAlignment="1">
      <alignment horizontal="left" vertical="center" wrapText="1" indent="1"/>
    </xf>
    <xf numFmtId="0" fontId="9" fillId="2" borderId="0" xfId="0" applyFont="1" applyFill="1" applyAlignment="1">
      <alignment horizontal="left" vertical="top" wrapText="1"/>
    </xf>
    <xf numFmtId="0" fontId="9" fillId="2" borderId="0" xfId="0" applyFont="1" applyFill="1" applyAlignment="1">
      <alignment horizontal="left"/>
    </xf>
    <xf numFmtId="0" fontId="7" fillId="3" borderId="0" xfId="0" applyFont="1" applyFill="1" applyAlignment="1" applyProtection="1">
      <alignment horizontal="center" wrapText="1"/>
      <protection locked="0"/>
    </xf>
    <xf numFmtId="0" fontId="11" fillId="3" borderId="0" xfId="0" applyFont="1" applyFill="1" applyAlignment="1" applyProtection="1">
      <alignment horizontal="center" wrapText="1"/>
      <protection locked="0"/>
    </xf>
    <xf numFmtId="0" fontId="9" fillId="5" borderId="0" xfId="0" applyFont="1" applyFill="1" applyAlignment="1">
      <alignment horizontal="left" vertical="top"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2" borderId="2" xfId="0" applyFont="1" applyFill="1" applyBorder="1" applyAlignment="1">
      <alignment horizontal="center" vertical="center"/>
    </xf>
    <xf numFmtId="0" fontId="7" fillId="0" borderId="2" xfId="0" applyFont="1" applyBorder="1" applyAlignment="1">
      <alignment horizontal="center" wrapText="1"/>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0" fillId="2" borderId="3" xfId="0" applyFill="1" applyBorder="1"/>
    <xf numFmtId="0" fontId="16" fillId="2" borderId="3" xfId="0" applyFont="1" applyFill="1" applyBorder="1" applyAlignment="1">
      <alignment horizontal="center"/>
    </xf>
    <xf numFmtId="0" fontId="14" fillId="2" borderId="0" xfId="0" applyFont="1" applyFill="1" applyAlignment="1">
      <alignment horizontal="right"/>
    </xf>
    <xf numFmtId="0" fontId="15" fillId="3" borderId="1" xfId="0" applyFont="1" applyFill="1" applyBorder="1" applyAlignment="1" applyProtection="1">
      <alignment horizontal="center"/>
      <protection locked="0"/>
    </xf>
    <xf numFmtId="0" fontId="7" fillId="3" borderId="1" xfId="0" applyFont="1" applyFill="1" applyBorder="1" applyAlignment="1" applyProtection="1">
      <alignment horizontal="center" wrapText="1"/>
      <protection locked="0"/>
    </xf>
    <xf numFmtId="0" fontId="16" fillId="2" borderId="0" xfId="0" applyFont="1" applyFill="1" applyAlignment="1">
      <alignment horizontal="center"/>
    </xf>
    <xf numFmtId="0" fontId="7" fillId="3" borderId="4" xfId="0" applyFont="1" applyFill="1" applyBorder="1" applyAlignment="1" applyProtection="1">
      <alignment horizontal="center" wrapText="1"/>
      <protection locked="0"/>
    </xf>
    <xf numFmtId="0" fontId="8" fillId="2" borderId="0" xfId="0" applyFont="1" applyFill="1" applyAlignment="1">
      <alignment horizontal="center"/>
    </xf>
    <xf numFmtId="0" fontId="0" fillId="2" borderId="1" xfId="0" applyFill="1" applyBorder="1"/>
    <xf numFmtId="0" fontId="7" fillId="3" borderId="3" xfId="0" applyFont="1" applyFill="1" applyBorder="1" applyAlignment="1" applyProtection="1">
      <alignment horizontal="center" vertical="center"/>
      <protection locked="0"/>
    </xf>
    <xf numFmtId="0" fontId="7" fillId="3" borderId="8" xfId="0" applyFont="1" applyFill="1" applyBorder="1" applyAlignment="1" applyProtection="1">
      <alignment horizontal="center" vertical="center"/>
      <protection locked="0"/>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7" fillId="3" borderId="4" xfId="0" applyFont="1" applyFill="1" applyBorder="1" applyAlignment="1" applyProtection="1">
      <alignment horizontal="center"/>
      <protection locked="0"/>
    </xf>
    <xf numFmtId="0" fontId="7" fillId="3" borderId="1" xfId="0" applyFont="1" applyFill="1" applyBorder="1" applyAlignment="1" applyProtection="1">
      <alignment horizontal="left" wrapText="1"/>
      <protection locked="0"/>
    </xf>
    <xf numFmtId="0" fontId="7" fillId="3" borderId="4" xfId="0" applyFont="1" applyFill="1" applyBorder="1" applyAlignment="1" applyProtection="1">
      <alignment horizontal="left" wrapText="1"/>
      <protection locked="0"/>
    </xf>
    <xf numFmtId="49" fontId="12" fillId="3" borderId="1" xfId="0" applyNumberFormat="1" applyFont="1" applyFill="1" applyBorder="1" applyAlignment="1" applyProtection="1">
      <alignment horizontal="center"/>
      <protection locked="0"/>
    </xf>
    <xf numFmtId="0" fontId="7" fillId="3" borderId="0" xfId="0" applyFont="1" applyFill="1" applyAlignment="1" applyProtection="1">
      <alignment horizontal="right" wrapText="1"/>
      <protection locked="0"/>
    </xf>
    <xf numFmtId="0" fontId="9" fillId="2" borderId="3" xfId="0" applyFont="1" applyFill="1" applyBorder="1" applyAlignment="1">
      <alignment horizontal="left" wrapText="1"/>
    </xf>
  </cellXfs>
  <cellStyles count="2">
    <cellStyle name="Comma" xfId="1" xr:uid="{00000000-0005-0000-0000-000000000000}"/>
    <cellStyle name="Обычный"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4"/>
  <sheetViews>
    <sheetView tabSelected="1" topLeftCell="A4" zoomScale="70" zoomScaleNormal="70" workbookViewId="0">
      <selection activeCell="H64" sqref="H64:I64"/>
    </sheetView>
  </sheetViews>
  <sheetFormatPr defaultRowHeight="14.4" x14ac:dyDescent="0.3"/>
  <cols>
    <col min="1" max="2" width="8.77734375" customWidth="1"/>
    <col min="3" max="3" width="12.6640625" customWidth="1"/>
    <col min="4" max="4" width="6.109375" customWidth="1"/>
    <col min="5" max="5" width="8.77734375" customWidth="1"/>
    <col min="6" max="6" width="12.6640625" customWidth="1"/>
    <col min="7" max="8" width="19.5546875" customWidth="1"/>
    <col min="9" max="9" width="22.44140625" customWidth="1"/>
    <col min="10" max="10" width="14.5546875" customWidth="1"/>
    <col min="11" max="11" width="4.77734375" bestFit="1" customWidth="1"/>
    <col min="12" max="12" width="9.21875" customWidth="1"/>
    <col min="13" max="13" width="8.77734375" customWidth="1"/>
  </cols>
  <sheetData>
    <row r="1" spans="3:12" x14ac:dyDescent="0.3">
      <c r="C1" s="77" t="s">
        <v>0</v>
      </c>
      <c r="D1" s="77"/>
      <c r="E1" s="77"/>
      <c r="F1" s="77"/>
      <c r="G1" s="77"/>
      <c r="H1" s="77"/>
      <c r="I1" s="77"/>
      <c r="J1" s="77"/>
      <c r="K1" s="77"/>
      <c r="L1" s="77"/>
    </row>
    <row r="2" spans="3:12" x14ac:dyDescent="0.3">
      <c r="C2" s="78"/>
      <c r="D2" s="78"/>
      <c r="E2" s="78"/>
      <c r="F2" s="78"/>
      <c r="G2" s="78"/>
      <c r="H2" s="78"/>
      <c r="I2" s="78"/>
      <c r="J2" s="78"/>
      <c r="K2" s="78"/>
      <c r="L2" s="78"/>
    </row>
    <row r="3" spans="3:12" x14ac:dyDescent="0.3">
      <c r="C3" s="1"/>
      <c r="D3" s="1"/>
      <c r="E3" s="1"/>
      <c r="F3" s="1"/>
      <c r="G3" s="1"/>
      <c r="H3" s="1"/>
      <c r="I3" s="1"/>
      <c r="J3" s="1"/>
      <c r="K3" s="1"/>
      <c r="L3" s="1"/>
    </row>
    <row r="4" spans="3:12" x14ac:dyDescent="0.3">
      <c r="C4" s="1"/>
      <c r="D4" s="1"/>
      <c r="E4" s="1"/>
      <c r="F4" s="1"/>
      <c r="G4" s="1"/>
      <c r="H4" s="1"/>
      <c r="I4" s="1"/>
      <c r="J4" s="1"/>
      <c r="K4" s="1"/>
      <c r="L4" s="1"/>
    </row>
    <row r="5" spans="3:12" x14ac:dyDescent="0.3">
      <c r="C5" s="2"/>
      <c r="D5" s="2"/>
      <c r="E5" s="2"/>
      <c r="F5" s="2"/>
      <c r="G5" s="2"/>
      <c r="H5" s="2"/>
      <c r="I5" s="2"/>
      <c r="J5" s="2"/>
      <c r="K5" s="2"/>
      <c r="L5" s="2"/>
    </row>
    <row r="6" spans="3:12" x14ac:dyDescent="0.3">
      <c r="C6" s="2"/>
      <c r="D6" s="2"/>
      <c r="E6" s="2"/>
      <c r="F6" s="2"/>
      <c r="G6" s="2"/>
      <c r="H6" s="2"/>
      <c r="I6" s="2"/>
      <c r="J6" s="2"/>
      <c r="K6" s="2"/>
      <c r="L6" s="2"/>
    </row>
    <row r="7" spans="3:12" x14ac:dyDescent="0.3">
      <c r="C7" s="2"/>
      <c r="D7" s="2"/>
      <c r="E7" s="2"/>
      <c r="F7" s="2"/>
      <c r="G7" s="2"/>
      <c r="H7" s="2"/>
      <c r="I7" s="2"/>
      <c r="J7" s="2"/>
      <c r="K7" s="2"/>
      <c r="L7" s="2"/>
    </row>
    <row r="8" spans="3:12" x14ac:dyDescent="0.3">
      <c r="C8" s="3" t="s">
        <v>1</v>
      </c>
      <c r="D8" s="79" t="s">
        <v>2</v>
      </c>
      <c r="E8" s="79"/>
      <c r="F8" s="4"/>
      <c r="G8" s="4"/>
      <c r="H8" s="4"/>
      <c r="I8" s="4"/>
      <c r="J8" s="4"/>
      <c r="K8" s="4"/>
      <c r="L8" s="4"/>
    </row>
    <row r="9" spans="3:12" x14ac:dyDescent="0.3">
      <c r="C9" s="3" t="s">
        <v>3</v>
      </c>
      <c r="D9" s="80" t="s">
        <v>2</v>
      </c>
      <c r="E9" s="80"/>
      <c r="F9" s="4"/>
      <c r="G9" s="4"/>
      <c r="H9" s="4"/>
      <c r="I9" s="4"/>
      <c r="J9" s="4"/>
      <c r="K9" s="4"/>
      <c r="L9" s="4"/>
    </row>
    <row r="10" spans="3:12" ht="15" customHeight="1" x14ac:dyDescent="0.3">
      <c r="C10" s="4"/>
      <c r="D10" s="4"/>
      <c r="E10" s="4"/>
      <c r="F10" s="4"/>
      <c r="G10" s="4"/>
      <c r="H10" s="4"/>
      <c r="I10" s="81" t="s">
        <v>116</v>
      </c>
      <c r="J10" s="81"/>
      <c r="K10" s="81"/>
      <c r="L10" s="4"/>
    </row>
    <row r="11" spans="3:12" ht="15" customHeight="1" x14ac:dyDescent="0.3">
      <c r="C11" s="5"/>
      <c r="D11" s="4"/>
      <c r="E11" s="4"/>
      <c r="F11" s="4"/>
      <c r="G11" s="4"/>
      <c r="H11" s="4"/>
      <c r="I11" s="81"/>
      <c r="J11" s="81"/>
      <c r="K11" s="81"/>
      <c r="L11" s="4"/>
    </row>
    <row r="12" spans="3:12" x14ac:dyDescent="0.3">
      <c r="C12" s="5"/>
      <c r="D12" s="4"/>
      <c r="E12" s="4"/>
      <c r="F12" s="4"/>
      <c r="G12" s="4"/>
      <c r="H12" s="4"/>
      <c r="I12" s="81"/>
      <c r="J12" s="81"/>
      <c r="K12" s="81"/>
      <c r="L12" s="4"/>
    </row>
    <row r="13" spans="3:12" x14ac:dyDescent="0.3">
      <c r="C13" s="4"/>
      <c r="D13" s="4"/>
      <c r="E13" s="4"/>
      <c r="F13" s="4"/>
      <c r="G13" s="4"/>
      <c r="H13" s="4"/>
      <c r="I13" s="81"/>
      <c r="J13" s="81"/>
      <c r="K13" s="81"/>
      <c r="L13" s="4"/>
    </row>
    <row r="14" spans="3:12" x14ac:dyDescent="0.3">
      <c r="C14" s="4"/>
      <c r="D14" s="4"/>
      <c r="E14" s="4"/>
      <c r="F14" s="4"/>
      <c r="G14" s="4"/>
      <c r="H14" s="4"/>
      <c r="I14" s="4"/>
      <c r="J14" s="4"/>
      <c r="K14" s="4"/>
      <c r="L14" s="4"/>
    </row>
    <row r="15" spans="3:12" x14ac:dyDescent="0.3">
      <c r="C15" s="82" t="s">
        <v>4</v>
      </c>
      <c r="D15" s="82"/>
      <c r="E15" s="82"/>
      <c r="F15" s="82"/>
      <c r="G15" s="82"/>
      <c r="H15" s="82"/>
      <c r="I15" s="82"/>
      <c r="J15" s="82"/>
      <c r="K15" s="82"/>
      <c r="L15" s="82"/>
    </row>
    <row r="16" spans="3:12" x14ac:dyDescent="0.3">
      <c r="C16" s="83" t="s">
        <v>5</v>
      </c>
      <c r="D16" s="83"/>
      <c r="E16" s="83"/>
      <c r="F16" s="83"/>
      <c r="G16" s="83"/>
      <c r="H16" s="83"/>
      <c r="I16" s="83"/>
      <c r="J16" s="83"/>
      <c r="K16" s="83"/>
      <c r="L16" s="83"/>
    </row>
    <row r="17" spans="3:13" x14ac:dyDescent="0.3">
      <c r="C17" s="4"/>
      <c r="D17" s="4"/>
      <c r="E17" s="4"/>
      <c r="F17" s="4"/>
      <c r="G17" s="4"/>
      <c r="H17" s="4"/>
      <c r="I17" s="4"/>
      <c r="J17" s="4"/>
      <c r="K17" s="4"/>
      <c r="L17" s="4"/>
    </row>
    <row r="18" spans="3:13" ht="15" customHeight="1" x14ac:dyDescent="0.3">
      <c r="C18" s="6" t="s">
        <v>6</v>
      </c>
      <c r="D18" s="79"/>
      <c r="E18" s="79"/>
      <c r="F18" s="79"/>
      <c r="G18" s="79"/>
      <c r="H18" s="84" t="s">
        <v>7</v>
      </c>
      <c r="I18" s="84"/>
      <c r="J18" s="84"/>
      <c r="K18" s="84"/>
      <c r="L18" s="84"/>
    </row>
    <row r="19" spans="3:13" ht="15" customHeight="1" x14ac:dyDescent="0.3">
      <c r="C19" s="4" t="s">
        <v>8</v>
      </c>
      <c r="D19" s="4"/>
      <c r="E19" s="4"/>
      <c r="F19" s="4"/>
      <c r="G19" s="4"/>
      <c r="H19" s="4"/>
      <c r="I19" s="4"/>
      <c r="J19" s="4"/>
      <c r="K19" s="4"/>
      <c r="L19" s="4"/>
    </row>
    <row r="20" spans="3:13" ht="15.75" customHeight="1" x14ac:dyDescent="0.3">
      <c r="C20" s="8"/>
      <c r="D20" s="9"/>
      <c r="E20" s="9"/>
      <c r="F20" s="4"/>
      <c r="G20" s="9"/>
      <c r="H20" s="9"/>
      <c r="I20" s="4"/>
      <c r="J20" s="10"/>
      <c r="K20" s="11"/>
      <c r="L20" s="11"/>
    </row>
    <row r="21" spans="3:13" ht="17.25" customHeight="1" x14ac:dyDescent="0.3">
      <c r="C21" s="12"/>
      <c r="D21" s="75" t="s">
        <v>9</v>
      </c>
      <c r="E21" s="75"/>
      <c r="F21" s="75"/>
      <c r="G21" s="75"/>
      <c r="H21" s="85" t="s">
        <v>10</v>
      </c>
      <c r="I21" s="85"/>
      <c r="J21" s="13"/>
      <c r="K21" s="11"/>
      <c r="L21" s="11"/>
    </row>
    <row r="22" spans="3:13" ht="15" customHeight="1" x14ac:dyDescent="0.3">
      <c r="C22" s="12"/>
      <c r="D22" s="76" t="s">
        <v>11</v>
      </c>
      <c r="E22" s="76"/>
      <c r="F22" s="76"/>
      <c r="G22" s="76"/>
      <c r="H22" s="69">
        <f>VLOOKUP(H$21,Sheet2!$B$2:$I$9,2,0)</f>
        <v>0</v>
      </c>
      <c r="I22" s="69"/>
      <c r="J22" s="14" t="s">
        <v>12</v>
      </c>
      <c r="K22" s="11"/>
      <c r="L22" s="11"/>
    </row>
    <row r="23" spans="3:13" ht="15" customHeight="1" x14ac:dyDescent="0.3">
      <c r="C23" s="12"/>
      <c r="D23" s="76" t="s">
        <v>13</v>
      </c>
      <c r="E23" s="76"/>
      <c r="F23" s="76"/>
      <c r="G23" s="76"/>
      <c r="H23" s="69">
        <f>VLOOKUP(H$21,Sheet2!$B$2:$I$9,3,0)+H26*1000+H27*1000</f>
        <v>0</v>
      </c>
      <c r="I23" s="69"/>
      <c r="J23" s="14" t="s">
        <v>12</v>
      </c>
      <c r="K23" s="11"/>
      <c r="L23" s="11"/>
    </row>
    <row r="24" spans="3:13" x14ac:dyDescent="0.3">
      <c r="C24" s="12"/>
      <c r="D24" s="90" t="s">
        <v>14</v>
      </c>
      <c r="E24" s="90"/>
      <c r="F24" s="90"/>
      <c r="G24" s="90"/>
      <c r="H24" s="69">
        <f>VLOOKUP(H$21,Sheet2!$B$2:$I$9,4,0)</f>
        <v>0</v>
      </c>
      <c r="I24" s="69"/>
      <c r="J24" s="14" t="s">
        <v>15</v>
      </c>
      <c r="K24" s="11"/>
      <c r="L24" s="11"/>
    </row>
    <row r="25" spans="3:13" ht="15" customHeight="1" x14ac:dyDescent="0.3">
      <c r="C25" s="12"/>
      <c r="D25" s="68" t="s">
        <v>16</v>
      </c>
      <c r="E25" s="68"/>
      <c r="F25" s="68"/>
      <c r="G25" s="68"/>
      <c r="H25" s="69">
        <f>VLOOKUP(H$21,Sheet2!$B$2:$I$9,5,0)</f>
        <v>0</v>
      </c>
      <c r="I25" s="69"/>
      <c r="J25" s="14" t="s">
        <v>17</v>
      </c>
      <c r="K25" s="11"/>
      <c r="L25" s="11"/>
    </row>
    <row r="26" spans="3:13" ht="15" customHeight="1" x14ac:dyDescent="0.3">
      <c r="C26" s="12"/>
      <c r="D26" s="70" t="s">
        <v>18</v>
      </c>
      <c r="E26" s="70"/>
      <c r="F26" s="70"/>
      <c r="G26" s="70"/>
      <c r="H26" s="71">
        <v>0</v>
      </c>
      <c r="I26" s="71"/>
      <c r="J26" s="14" t="s">
        <v>15</v>
      </c>
      <c r="K26" s="11"/>
      <c r="L26" s="11"/>
    </row>
    <row r="27" spans="3:13" ht="15" customHeight="1" x14ac:dyDescent="0.3">
      <c r="C27" s="12"/>
      <c r="D27" s="70" t="s">
        <v>19</v>
      </c>
      <c r="E27" s="70"/>
      <c r="F27" s="70"/>
      <c r="G27" s="70"/>
      <c r="H27" s="71">
        <v>0</v>
      </c>
      <c r="I27" s="71"/>
      <c r="J27" s="14" t="s">
        <v>17</v>
      </c>
      <c r="K27" s="11"/>
      <c r="L27" s="11"/>
    </row>
    <row r="28" spans="3:13" ht="48" customHeight="1" x14ac:dyDescent="0.3">
      <c r="C28" s="12"/>
      <c r="D28" s="86" t="s">
        <v>20</v>
      </c>
      <c r="E28" s="86"/>
      <c r="F28" s="86"/>
      <c r="G28" s="86"/>
      <c r="H28" s="86"/>
      <c r="I28" s="86"/>
      <c r="J28" s="86"/>
      <c r="K28" s="11"/>
      <c r="L28" s="11"/>
    </row>
    <row r="29" spans="3:13" x14ac:dyDescent="0.3">
      <c r="C29" s="12"/>
      <c r="D29" s="15"/>
      <c r="E29" s="16"/>
      <c r="F29" s="16"/>
      <c r="G29" s="16"/>
      <c r="H29" s="16"/>
      <c r="I29" s="16"/>
      <c r="J29" s="16"/>
      <c r="K29" s="11"/>
      <c r="L29" s="11"/>
    </row>
    <row r="30" spans="3:13" x14ac:dyDescent="0.3">
      <c r="C30" s="12"/>
      <c r="D30" s="87" t="s">
        <v>21</v>
      </c>
      <c r="E30" s="87"/>
      <c r="F30" s="87"/>
      <c r="G30" s="87"/>
      <c r="H30" s="110"/>
      <c r="I30" s="110"/>
      <c r="J30" s="17"/>
      <c r="K30" s="11"/>
      <c r="L30" s="11"/>
    </row>
    <row r="31" spans="3:13" x14ac:dyDescent="0.3">
      <c r="C31" s="12"/>
      <c r="D31" s="88" t="s">
        <v>22</v>
      </c>
      <c r="E31" s="88"/>
      <c r="F31" s="88"/>
      <c r="G31" s="88"/>
      <c r="H31" s="18" t="s">
        <v>23</v>
      </c>
      <c r="I31" s="89">
        <f>IF(H31="Подключить",4000,0)</f>
        <v>0</v>
      </c>
      <c r="J31" s="89"/>
      <c r="K31" s="19" t="s">
        <v>12</v>
      </c>
      <c r="L31" s="11"/>
      <c r="M31" s="11"/>
    </row>
    <row r="32" spans="3:13" x14ac:dyDescent="0.3">
      <c r="C32" s="12"/>
      <c r="D32" s="73" t="s">
        <v>24</v>
      </c>
      <c r="E32" s="73"/>
      <c r="F32" s="73"/>
      <c r="G32" s="73"/>
      <c r="H32" s="18" t="s">
        <v>23</v>
      </c>
      <c r="I32" s="74">
        <f>IF(H32="Подключить",4000,0)</f>
        <v>0</v>
      </c>
      <c r="J32" s="74"/>
      <c r="K32" s="20" t="s">
        <v>12</v>
      </c>
      <c r="L32" s="11"/>
      <c r="M32" s="11"/>
    </row>
    <row r="33" spans="3:13" x14ac:dyDescent="0.3">
      <c r="C33" s="12"/>
      <c r="D33" s="73" t="s">
        <v>25</v>
      </c>
      <c r="E33" s="73"/>
      <c r="F33" s="73"/>
      <c r="G33" s="73"/>
      <c r="H33" s="18" t="s">
        <v>23</v>
      </c>
      <c r="I33" s="74">
        <f>IF(H33="Подключить",4000,0)</f>
        <v>0</v>
      </c>
      <c r="J33" s="74"/>
      <c r="K33" s="20" t="s">
        <v>12</v>
      </c>
      <c r="L33" s="11"/>
      <c r="M33" s="11"/>
    </row>
    <row r="34" spans="3:13" x14ac:dyDescent="0.3">
      <c r="C34" s="12"/>
      <c r="D34" s="73" t="s">
        <v>127</v>
      </c>
      <c r="E34" s="73"/>
      <c r="F34" s="73"/>
      <c r="G34" s="73"/>
      <c r="H34" s="18" t="s">
        <v>23</v>
      </c>
      <c r="I34" s="74">
        <f>IF(H34="Подключить",6000,0)</f>
        <v>0</v>
      </c>
      <c r="J34" s="74"/>
      <c r="K34" s="20" t="s">
        <v>12</v>
      </c>
      <c r="L34" s="11"/>
      <c r="M34" s="11"/>
    </row>
    <row r="35" spans="3:13" x14ac:dyDescent="0.3">
      <c r="C35" s="12"/>
      <c r="D35" s="73" t="s">
        <v>26</v>
      </c>
      <c r="E35" s="73"/>
      <c r="F35" s="73"/>
      <c r="G35" s="73"/>
      <c r="H35" s="18" t="s">
        <v>23</v>
      </c>
      <c r="I35" s="74">
        <f>IF(H35="Подключить",4000,0)</f>
        <v>0</v>
      </c>
      <c r="J35" s="74"/>
      <c r="K35" s="20" t="s">
        <v>12</v>
      </c>
      <c r="L35" s="2"/>
    </row>
    <row r="36" spans="3:13" x14ac:dyDescent="0.3">
      <c r="C36" s="12"/>
      <c r="D36" s="73" t="s">
        <v>117</v>
      </c>
      <c r="E36" s="73"/>
      <c r="F36" s="73"/>
      <c r="G36" s="73"/>
      <c r="H36" s="18" t="s">
        <v>23</v>
      </c>
      <c r="I36" s="74">
        <f t="shared" ref="I36:I39" si="0">IF(H36="Подключить",4000,0)</f>
        <v>0</v>
      </c>
      <c r="J36" s="74"/>
      <c r="K36" s="20" t="s">
        <v>12</v>
      </c>
      <c r="L36" s="2"/>
    </row>
    <row r="37" spans="3:13" x14ac:dyDescent="0.3">
      <c r="C37" s="12"/>
      <c r="D37" s="73" t="s">
        <v>118</v>
      </c>
      <c r="E37" s="73"/>
      <c r="F37" s="73"/>
      <c r="G37" s="73"/>
      <c r="H37" s="18" t="s">
        <v>23</v>
      </c>
      <c r="I37" s="74">
        <f t="shared" si="0"/>
        <v>0</v>
      </c>
      <c r="J37" s="74"/>
      <c r="K37" s="20" t="s">
        <v>12</v>
      </c>
      <c r="L37" s="2"/>
    </row>
    <row r="38" spans="3:13" ht="20.55" customHeight="1" x14ac:dyDescent="0.3">
      <c r="C38" s="12"/>
      <c r="D38" s="73" t="s">
        <v>119</v>
      </c>
      <c r="E38" s="73"/>
      <c r="F38" s="73"/>
      <c r="G38" s="73"/>
      <c r="H38" s="18" t="s">
        <v>23</v>
      </c>
      <c r="I38" s="74">
        <f t="shared" si="0"/>
        <v>0</v>
      </c>
      <c r="J38" s="74"/>
      <c r="K38" s="20" t="s">
        <v>12</v>
      </c>
      <c r="L38" s="2"/>
    </row>
    <row r="39" spans="3:13" x14ac:dyDescent="0.3">
      <c r="C39" s="12"/>
      <c r="D39" s="73" t="s">
        <v>120</v>
      </c>
      <c r="E39" s="73"/>
      <c r="F39" s="73"/>
      <c r="G39" s="73"/>
      <c r="H39" s="18" t="s">
        <v>23</v>
      </c>
      <c r="I39" s="74">
        <f t="shared" si="0"/>
        <v>0</v>
      </c>
      <c r="J39" s="74"/>
      <c r="K39" s="20" t="s">
        <v>12</v>
      </c>
      <c r="L39" s="2"/>
    </row>
    <row r="40" spans="3:13" x14ac:dyDescent="0.3">
      <c r="C40" s="12"/>
      <c r="D40" s="73" t="s">
        <v>121</v>
      </c>
      <c r="E40" s="73"/>
      <c r="F40" s="73"/>
      <c r="G40" s="73"/>
      <c r="H40" s="18" t="s">
        <v>23</v>
      </c>
      <c r="I40" s="74">
        <f>IF(H40="Подключить",4000,0)</f>
        <v>0</v>
      </c>
      <c r="J40" s="74"/>
      <c r="K40" s="20" t="s">
        <v>12</v>
      </c>
      <c r="L40" s="2"/>
      <c r="M40" s="11"/>
    </row>
    <row r="41" spans="3:13" x14ac:dyDescent="0.3">
      <c r="C41" s="12"/>
      <c r="D41" s="73" t="s">
        <v>134</v>
      </c>
      <c r="E41" s="73"/>
      <c r="F41" s="73"/>
      <c r="G41" s="73"/>
      <c r="H41" s="18" t="s">
        <v>23</v>
      </c>
      <c r="I41" s="74">
        <f>IF(H41="Подключить",4000,0)</f>
        <v>0</v>
      </c>
      <c r="J41" s="74"/>
      <c r="K41" s="20" t="s">
        <v>12</v>
      </c>
      <c r="L41" s="11"/>
    </row>
    <row r="42" spans="3:13" x14ac:dyDescent="0.3">
      <c r="C42" s="12"/>
      <c r="D42" s="15"/>
      <c r="E42" s="15"/>
      <c r="F42" s="15"/>
      <c r="G42" s="15"/>
      <c r="H42" s="15"/>
      <c r="I42" s="15"/>
      <c r="J42" s="15"/>
      <c r="K42" s="15"/>
      <c r="L42" s="11"/>
    </row>
    <row r="43" spans="3:13" ht="21.45" customHeight="1" x14ac:dyDescent="0.3">
      <c r="C43" s="12"/>
      <c r="D43" s="15"/>
      <c r="E43" s="15"/>
      <c r="F43" s="72" t="s">
        <v>135</v>
      </c>
      <c r="G43" s="72"/>
      <c r="H43" s="15"/>
      <c r="I43" s="15"/>
      <c r="J43" s="15"/>
      <c r="K43" s="15"/>
      <c r="L43" s="11"/>
    </row>
    <row r="44" spans="3:13" ht="18.45" customHeight="1" x14ac:dyDescent="0.3">
      <c r="C44" s="12"/>
      <c r="D44" s="67" t="s">
        <v>139</v>
      </c>
      <c r="E44" s="67"/>
      <c r="F44" s="67"/>
      <c r="G44" s="67"/>
      <c r="H44" s="52" t="s">
        <v>23</v>
      </c>
      <c r="I44" s="55">
        <f>IF(H44="Подключить",12000,0)</f>
        <v>0</v>
      </c>
      <c r="J44" s="56"/>
      <c r="K44" s="61" t="s">
        <v>12</v>
      </c>
      <c r="L44" s="11"/>
    </row>
    <row r="45" spans="3:13" ht="14.55" customHeight="1" x14ac:dyDescent="0.3">
      <c r="C45" s="12"/>
      <c r="D45" s="67" t="s">
        <v>140</v>
      </c>
      <c r="E45" s="67"/>
      <c r="F45" s="67"/>
      <c r="G45" s="67"/>
      <c r="H45" s="53"/>
      <c r="I45" s="57"/>
      <c r="J45" s="58"/>
      <c r="K45" s="62"/>
      <c r="L45" s="11"/>
    </row>
    <row r="46" spans="3:13" ht="14.55" customHeight="1" x14ac:dyDescent="0.3">
      <c r="C46" s="12"/>
      <c r="D46" s="67" t="s">
        <v>25</v>
      </c>
      <c r="E46" s="67"/>
      <c r="F46" s="67"/>
      <c r="G46" s="67"/>
      <c r="H46" s="53"/>
      <c r="I46" s="57"/>
      <c r="J46" s="58"/>
      <c r="K46" s="62"/>
      <c r="L46" s="11"/>
    </row>
    <row r="47" spans="3:13" ht="14.55" customHeight="1" x14ac:dyDescent="0.3">
      <c r="C47" s="12"/>
      <c r="D47" s="67" t="s">
        <v>22</v>
      </c>
      <c r="E47" s="67"/>
      <c r="F47" s="67"/>
      <c r="G47" s="67"/>
      <c r="H47" s="53"/>
      <c r="I47" s="57"/>
      <c r="J47" s="58"/>
      <c r="K47" s="62"/>
      <c r="L47" s="11"/>
    </row>
    <row r="48" spans="3:13" ht="14.55" customHeight="1" x14ac:dyDescent="0.3">
      <c r="C48" s="12"/>
      <c r="D48" s="67" t="s">
        <v>134</v>
      </c>
      <c r="E48" s="67"/>
      <c r="F48" s="67"/>
      <c r="G48" s="67"/>
      <c r="H48" s="54"/>
      <c r="I48" s="59"/>
      <c r="J48" s="60"/>
      <c r="K48" s="63"/>
      <c r="L48" s="15"/>
    </row>
    <row r="49" spans="1:13" ht="14.55" customHeight="1" x14ac:dyDescent="0.3">
      <c r="C49" s="12"/>
      <c r="D49" s="15"/>
      <c r="E49" s="15"/>
      <c r="F49" s="15"/>
      <c r="G49" s="15"/>
      <c r="H49" s="15"/>
      <c r="I49" s="15"/>
      <c r="J49" s="15"/>
      <c r="K49" s="15"/>
      <c r="L49" s="15"/>
    </row>
    <row r="50" spans="1:13" x14ac:dyDescent="0.3">
      <c r="C50" s="12"/>
      <c r="D50" s="15"/>
      <c r="E50" s="15"/>
      <c r="F50" s="72" t="s">
        <v>136</v>
      </c>
      <c r="G50" s="72"/>
      <c r="H50" s="15"/>
      <c r="I50" s="15"/>
      <c r="J50" s="15"/>
      <c r="K50" s="15"/>
      <c r="L50" s="11"/>
    </row>
    <row r="51" spans="1:13" ht="14.55" customHeight="1" x14ac:dyDescent="0.3">
      <c r="C51" s="12"/>
      <c r="D51" s="67" t="s">
        <v>137</v>
      </c>
      <c r="E51" s="67"/>
      <c r="F51" s="67"/>
      <c r="G51" s="67"/>
      <c r="H51" s="52" t="s">
        <v>23</v>
      </c>
      <c r="I51" s="55">
        <f>IF(H51="Подключить",10000,0)</f>
        <v>0</v>
      </c>
      <c r="J51" s="56"/>
      <c r="K51" s="61" t="s">
        <v>12</v>
      </c>
      <c r="L51" s="11"/>
    </row>
    <row r="52" spans="1:13" ht="14.55" customHeight="1" x14ac:dyDescent="0.3">
      <c r="C52" s="12"/>
      <c r="D52" s="67" t="s">
        <v>138</v>
      </c>
      <c r="E52" s="67"/>
      <c r="F52" s="67"/>
      <c r="G52" s="67"/>
      <c r="H52" s="53"/>
      <c r="I52" s="57"/>
      <c r="J52" s="58"/>
      <c r="K52" s="62"/>
      <c r="L52" s="11"/>
    </row>
    <row r="53" spans="1:13" ht="14.55" customHeight="1" x14ac:dyDescent="0.3">
      <c r="C53" s="12"/>
      <c r="D53" s="67" t="s">
        <v>119</v>
      </c>
      <c r="E53" s="67"/>
      <c r="F53" s="67"/>
      <c r="G53" s="67"/>
      <c r="H53" s="53"/>
      <c r="I53" s="57"/>
      <c r="J53" s="58"/>
      <c r="K53" s="62"/>
      <c r="L53" s="11"/>
    </row>
    <row r="54" spans="1:13" ht="14.55" customHeight="1" x14ac:dyDescent="0.3">
      <c r="C54" s="12"/>
      <c r="D54" s="67" t="s">
        <v>141</v>
      </c>
      <c r="E54" s="67"/>
      <c r="F54" s="67"/>
      <c r="G54" s="67"/>
      <c r="H54" s="53"/>
      <c r="I54" s="57"/>
      <c r="J54" s="58"/>
      <c r="K54" s="62"/>
      <c r="L54" s="11"/>
    </row>
    <row r="55" spans="1:13" ht="14.55" customHeight="1" x14ac:dyDescent="0.3">
      <c r="C55" s="12"/>
      <c r="D55" s="67" t="s">
        <v>22</v>
      </c>
      <c r="E55" s="67"/>
      <c r="F55" s="67"/>
      <c r="G55" s="67"/>
      <c r="H55" s="54"/>
      <c r="I55" s="59"/>
      <c r="J55" s="60"/>
      <c r="K55" s="63"/>
      <c r="L55" s="11"/>
    </row>
    <row r="56" spans="1:13" x14ac:dyDescent="0.3">
      <c r="C56" s="12"/>
      <c r="D56" s="15"/>
      <c r="E56" s="15"/>
      <c r="F56" s="15"/>
      <c r="G56" s="15"/>
      <c r="H56" s="15"/>
      <c r="I56" s="15"/>
      <c r="J56" s="15"/>
      <c r="K56" s="15"/>
      <c r="L56" s="11"/>
    </row>
    <row r="57" spans="1:13" x14ac:dyDescent="0.3">
      <c r="C57" s="12"/>
      <c r="D57" s="15"/>
      <c r="E57" s="15"/>
      <c r="F57" s="15"/>
      <c r="G57" s="50" t="s">
        <v>129</v>
      </c>
      <c r="H57" s="50"/>
      <c r="I57" s="50"/>
      <c r="J57" s="50"/>
      <c r="K57" s="15"/>
      <c r="L57" s="11"/>
    </row>
    <row r="58" spans="1:13" ht="14.4" customHeight="1" x14ac:dyDescent="0.3">
      <c r="C58" s="12"/>
      <c r="D58" s="64" t="s">
        <v>132</v>
      </c>
      <c r="E58" s="65"/>
      <c r="F58" s="65"/>
      <c r="G58" s="66"/>
      <c r="H58" s="111" t="s">
        <v>23</v>
      </c>
      <c r="I58" s="96">
        <f>IF(H58="Подключить",4000,0)</f>
        <v>0</v>
      </c>
      <c r="J58" s="97"/>
      <c r="K58" s="20" t="s">
        <v>12</v>
      </c>
      <c r="L58" s="11"/>
    </row>
    <row r="59" spans="1:13" ht="14.4" customHeight="1" x14ac:dyDescent="0.3">
      <c r="C59" s="12"/>
      <c r="D59" s="64" t="s">
        <v>131</v>
      </c>
      <c r="E59" s="65"/>
      <c r="F59" s="65"/>
      <c r="G59" s="66"/>
      <c r="H59" s="112"/>
      <c r="I59" s="113" t="str">
        <f>IF(H58="Подключить",H25*1000+H27*1000,"0")</f>
        <v>0</v>
      </c>
      <c r="J59" s="114"/>
      <c r="K59" s="51" t="s">
        <v>12</v>
      </c>
    </row>
    <row r="60" spans="1:13" ht="55.95" customHeight="1" x14ac:dyDescent="0.3">
      <c r="C60" s="12"/>
      <c r="D60" s="95" t="s">
        <v>130</v>
      </c>
      <c r="E60" s="95"/>
      <c r="F60" s="95"/>
      <c r="G60" s="95"/>
      <c r="H60" s="95"/>
      <c r="I60" s="95"/>
      <c r="J60" s="95"/>
      <c r="K60" s="95"/>
    </row>
    <row r="61" spans="1:13" ht="18" customHeight="1" x14ac:dyDescent="0.3">
      <c r="A61" s="47"/>
      <c r="D61" s="12"/>
      <c r="E61" s="15"/>
      <c r="F61" s="16"/>
      <c r="G61" s="16"/>
      <c r="H61" s="16"/>
      <c r="I61" s="16"/>
      <c r="J61" s="16"/>
      <c r="K61" s="16"/>
      <c r="L61" s="11"/>
      <c r="M61" s="11"/>
    </row>
    <row r="62" spans="1:13" ht="15" customHeight="1" x14ac:dyDescent="0.3">
      <c r="C62" s="21"/>
      <c r="D62" s="75" t="s">
        <v>27</v>
      </c>
      <c r="E62" s="75"/>
      <c r="F62" s="75"/>
      <c r="G62" s="75"/>
      <c r="H62" s="48" t="s">
        <v>10</v>
      </c>
      <c r="I62" s="48"/>
      <c r="J62" s="13"/>
      <c r="K62" s="4"/>
      <c r="L62" s="4"/>
    </row>
    <row r="63" spans="1:13" ht="21" customHeight="1" x14ac:dyDescent="0.3">
      <c r="C63" s="22"/>
      <c r="D63" s="70" t="s">
        <v>28</v>
      </c>
      <c r="E63" s="70"/>
      <c r="F63" s="70"/>
      <c r="G63" s="70"/>
      <c r="H63" s="69">
        <f>VLOOKUP(H62,Sheet2!$B$38:$H$47,2,0)</f>
        <v>0</v>
      </c>
      <c r="I63" s="69"/>
      <c r="J63" s="14" t="s">
        <v>12</v>
      </c>
      <c r="K63" s="4"/>
      <c r="L63" s="4"/>
    </row>
    <row r="64" spans="1:13" ht="28.5" customHeight="1" x14ac:dyDescent="0.3">
      <c r="C64" s="22"/>
      <c r="D64" s="76" t="s">
        <v>29</v>
      </c>
      <c r="E64" s="76"/>
      <c r="F64" s="76"/>
      <c r="G64" s="76"/>
      <c r="H64" s="98">
        <f>VLOOKUP(H62,Sheet2!$B$38:$H$47,3,0)</f>
        <v>0</v>
      </c>
      <c r="I64" s="98"/>
      <c r="J64" s="14" t="s">
        <v>30</v>
      </c>
      <c r="K64" s="4"/>
      <c r="L64" s="4"/>
    </row>
    <row r="65" spans="3:12" ht="20.25" customHeight="1" x14ac:dyDescent="0.3">
      <c r="C65" s="23"/>
      <c r="D65" s="100" t="s">
        <v>31</v>
      </c>
      <c r="E65" s="100"/>
      <c r="F65" s="100"/>
      <c r="G65" s="100"/>
      <c r="H65" s="101" t="s">
        <v>32</v>
      </c>
      <c r="I65" s="101"/>
      <c r="J65" s="24" t="s">
        <v>33</v>
      </c>
      <c r="K65" s="25"/>
      <c r="L65" s="4"/>
    </row>
    <row r="66" spans="3:12" ht="21" customHeight="1" x14ac:dyDescent="0.3">
      <c r="C66" s="22"/>
      <c r="D66" s="76" t="s">
        <v>34</v>
      </c>
      <c r="E66" s="76"/>
      <c r="F66" s="76"/>
      <c r="G66" s="76"/>
      <c r="H66" s="98">
        <f>VLOOKUP(H62,Sheet2!$B$38:$H$47,4,0)</f>
        <v>0</v>
      </c>
      <c r="I66" s="98"/>
      <c r="J66" s="14" t="s">
        <v>35</v>
      </c>
      <c r="K66" s="4"/>
      <c r="L66" s="4"/>
    </row>
    <row r="67" spans="3:12" ht="15" customHeight="1" x14ac:dyDescent="0.3">
      <c r="C67" s="22"/>
      <c r="D67" s="70" t="s">
        <v>36</v>
      </c>
      <c r="E67" s="70"/>
      <c r="F67" s="70"/>
      <c r="G67" s="70"/>
      <c r="H67" s="98">
        <f>VLOOKUP(H62,Sheet2!$B$38:$H$47,5,0)</f>
        <v>0</v>
      </c>
      <c r="I67" s="98"/>
      <c r="J67" s="14" t="s">
        <v>35</v>
      </c>
      <c r="K67" s="4"/>
      <c r="L67" s="4"/>
    </row>
    <row r="68" spans="3:12" ht="15" customHeight="1" x14ac:dyDescent="0.3">
      <c r="C68" s="22"/>
      <c r="D68" s="70" t="s">
        <v>37</v>
      </c>
      <c r="E68" s="70"/>
      <c r="F68" s="70"/>
      <c r="G68" s="70"/>
      <c r="H68" s="98">
        <f>VLOOKUP(H62,Sheet2!$B$38:$H$106,6,0)</f>
        <v>0</v>
      </c>
      <c r="I68" s="98"/>
      <c r="J68" s="14" t="s">
        <v>35</v>
      </c>
      <c r="K68" s="4"/>
      <c r="L68" s="4"/>
    </row>
    <row r="69" spans="3:12" ht="15" customHeight="1" x14ac:dyDescent="0.3">
      <c r="C69" s="22"/>
      <c r="D69" s="70" t="s">
        <v>38</v>
      </c>
      <c r="E69" s="70"/>
      <c r="F69" s="70"/>
      <c r="G69" s="70"/>
      <c r="H69" s="98">
        <f>VLOOKUP(H62,Sheet2!$B$38:$H$47,7,0)</f>
        <v>0</v>
      </c>
      <c r="I69" s="98"/>
      <c r="J69" s="14" t="s">
        <v>35</v>
      </c>
      <c r="K69" s="4"/>
      <c r="L69" s="4"/>
    </row>
    <row r="70" spans="3:12" x14ac:dyDescent="0.3">
      <c r="C70" s="22"/>
      <c r="D70" s="70" t="s">
        <v>39</v>
      </c>
      <c r="E70" s="70"/>
      <c r="F70" s="70"/>
      <c r="G70" s="70"/>
      <c r="H70" s="99" t="s">
        <v>40</v>
      </c>
      <c r="I70" s="99"/>
      <c r="J70" s="26"/>
      <c r="K70" s="27"/>
      <c r="L70" s="4"/>
    </row>
    <row r="71" spans="3:12" ht="81" customHeight="1" x14ac:dyDescent="0.3">
      <c r="C71" s="16"/>
      <c r="D71" s="120" t="s">
        <v>41</v>
      </c>
      <c r="E71" s="120"/>
      <c r="F71" s="120"/>
      <c r="G71" s="120"/>
      <c r="H71" s="120"/>
      <c r="I71" s="120"/>
      <c r="J71" s="120"/>
      <c r="K71" s="4"/>
      <c r="L71" s="4"/>
    </row>
    <row r="72" spans="3:12" x14ac:dyDescent="0.3">
      <c r="C72" s="16"/>
      <c r="D72" s="15"/>
      <c r="E72" s="16"/>
      <c r="F72" s="16"/>
      <c r="G72" s="16"/>
      <c r="H72" s="88" t="s">
        <v>42</v>
      </c>
      <c r="I72" s="88"/>
      <c r="J72" s="28">
        <f>H23+I31+I32+I33+I35+H63+I40+I38+I34+I36+I37+I39+I41+I44+I51+I58+H59+I59</f>
        <v>0</v>
      </c>
      <c r="K72" s="4"/>
      <c r="L72" s="4"/>
    </row>
    <row r="73" spans="3:12" ht="10.95" customHeight="1" x14ac:dyDescent="0.3">
      <c r="C73" s="7"/>
      <c r="D73" s="29"/>
      <c r="E73" s="29"/>
      <c r="F73" s="29"/>
      <c r="G73" s="29"/>
      <c r="H73" s="30"/>
      <c r="I73" s="7"/>
      <c r="J73" s="4"/>
      <c r="K73" s="4"/>
      <c r="L73" s="4"/>
    </row>
    <row r="74" spans="3:12" ht="75" customHeight="1" x14ac:dyDescent="0.3">
      <c r="C74" s="91" t="s">
        <v>43</v>
      </c>
      <c r="D74" s="91"/>
      <c r="E74" s="91"/>
      <c r="F74" s="91"/>
      <c r="G74" s="91"/>
      <c r="H74" s="91"/>
      <c r="I74" s="91"/>
      <c r="J74" s="91"/>
      <c r="K74" s="91"/>
      <c r="L74" s="91"/>
    </row>
    <row r="75" spans="3:12" ht="17.25" customHeight="1" x14ac:dyDescent="0.3">
      <c r="C75" s="31"/>
      <c r="D75" s="92" t="s">
        <v>44</v>
      </c>
      <c r="E75" s="92"/>
      <c r="F75" s="93" t="s">
        <v>45</v>
      </c>
      <c r="G75" s="93"/>
      <c r="H75" s="32" t="s">
        <v>46</v>
      </c>
      <c r="I75" s="94" t="s">
        <v>47</v>
      </c>
      <c r="J75" s="94"/>
      <c r="K75" s="31"/>
      <c r="L75" s="31"/>
    </row>
    <row r="76" spans="3:12" x14ac:dyDescent="0.3">
      <c r="C76" s="31"/>
      <c r="D76" s="92" t="s">
        <v>48</v>
      </c>
      <c r="E76" s="92"/>
      <c r="F76" s="92"/>
      <c r="G76" s="92"/>
      <c r="H76" s="119" t="s">
        <v>49</v>
      </c>
      <c r="I76" s="119"/>
      <c r="J76" s="31" t="s">
        <v>50</v>
      </c>
      <c r="K76" s="31"/>
      <c r="L76" s="31"/>
    </row>
    <row r="77" spans="3:12" x14ac:dyDescent="0.3">
      <c r="C77" s="7"/>
      <c r="D77" s="109" t="s">
        <v>51</v>
      </c>
      <c r="E77" s="109"/>
      <c r="F77" s="109"/>
      <c r="G77" s="109"/>
      <c r="H77" s="109"/>
      <c r="I77" s="109"/>
      <c r="J77" s="109"/>
      <c r="K77" s="4"/>
      <c r="L77" s="4"/>
    </row>
    <row r="78" spans="3:12" x14ac:dyDescent="0.3">
      <c r="C78" s="7"/>
      <c r="D78" s="92" t="s">
        <v>52</v>
      </c>
      <c r="E78" s="92"/>
      <c r="F78" s="92"/>
      <c r="G78" s="116" t="s">
        <v>53</v>
      </c>
      <c r="H78" s="116"/>
      <c r="I78" s="116"/>
      <c r="J78" s="116"/>
      <c r="K78" s="4"/>
      <c r="L78" s="4"/>
    </row>
    <row r="79" spans="3:12" x14ac:dyDescent="0.3">
      <c r="C79" s="7"/>
      <c r="D79" s="16" t="s">
        <v>54</v>
      </c>
      <c r="E79" s="16"/>
      <c r="F79" s="16"/>
      <c r="G79" s="117" t="s">
        <v>55</v>
      </c>
      <c r="H79" s="117"/>
      <c r="I79" s="117"/>
      <c r="J79" s="117"/>
      <c r="K79" s="4"/>
      <c r="L79" s="4"/>
    </row>
    <row r="80" spans="3:12" x14ac:dyDescent="0.3">
      <c r="C80" s="7"/>
      <c r="D80" s="22" t="s">
        <v>56</v>
      </c>
      <c r="E80" s="118" t="s">
        <v>57</v>
      </c>
      <c r="F80" s="118"/>
      <c r="G80" s="118"/>
      <c r="H80" s="22"/>
      <c r="I80" s="16"/>
      <c r="J80" s="22"/>
      <c r="K80" s="4"/>
      <c r="L80" s="4"/>
    </row>
    <row r="81" spans="3:12" x14ac:dyDescent="0.3">
      <c r="C81" s="7"/>
      <c r="D81" s="22" t="s">
        <v>58</v>
      </c>
      <c r="E81" s="115" t="s">
        <v>59</v>
      </c>
      <c r="F81" s="115"/>
      <c r="G81" s="115"/>
      <c r="H81" s="22"/>
      <c r="I81" s="16"/>
      <c r="J81" s="22"/>
      <c r="K81" s="4"/>
      <c r="L81" s="4"/>
    </row>
    <row r="82" spans="3:12" x14ac:dyDescent="0.3">
      <c r="C82" s="7"/>
      <c r="D82" s="22" t="s">
        <v>60</v>
      </c>
      <c r="E82" s="115" t="s">
        <v>61</v>
      </c>
      <c r="F82" s="115"/>
      <c r="G82" s="22"/>
      <c r="H82" s="22"/>
      <c r="I82" s="16"/>
      <c r="J82" s="22"/>
      <c r="K82" s="4"/>
      <c r="L82" s="4"/>
    </row>
    <row r="83" spans="3:12" x14ac:dyDescent="0.3">
      <c r="C83" s="7"/>
      <c r="D83" s="22" t="s">
        <v>62</v>
      </c>
      <c r="E83" s="33" t="s">
        <v>63</v>
      </c>
      <c r="F83" s="23"/>
      <c r="G83" s="22"/>
      <c r="H83" s="22"/>
      <c r="I83" s="16"/>
      <c r="J83" s="22"/>
      <c r="K83" s="4"/>
      <c r="L83" s="4"/>
    </row>
    <row r="84" spans="3:12" x14ac:dyDescent="0.3">
      <c r="C84" s="7"/>
      <c r="D84" s="92" t="s">
        <v>64</v>
      </c>
      <c r="E84" s="92"/>
      <c r="F84" s="106" t="s">
        <v>65</v>
      </c>
      <c r="G84" s="106"/>
      <c r="H84" s="106"/>
      <c r="I84" s="106"/>
      <c r="J84" s="22"/>
      <c r="K84" s="4"/>
      <c r="L84" s="4"/>
    </row>
    <row r="85" spans="3:12" x14ac:dyDescent="0.3">
      <c r="C85" s="7"/>
      <c r="D85" s="92" t="s">
        <v>66</v>
      </c>
      <c r="E85" s="92"/>
      <c r="F85" s="92"/>
      <c r="G85" s="92"/>
      <c r="H85" s="106" t="s">
        <v>67</v>
      </c>
      <c r="I85" s="106"/>
      <c r="J85" s="106"/>
      <c r="K85" s="4"/>
      <c r="L85" s="4"/>
    </row>
    <row r="86" spans="3:12" ht="15" customHeight="1" x14ac:dyDescent="0.3">
      <c r="C86" s="7"/>
      <c r="D86" s="92" t="s">
        <v>68</v>
      </c>
      <c r="E86" s="92"/>
      <c r="F86" s="92"/>
      <c r="G86" s="92"/>
      <c r="H86" s="108" t="s">
        <v>69</v>
      </c>
      <c r="I86" s="108"/>
      <c r="J86" s="108"/>
      <c r="K86" s="25"/>
      <c r="L86" s="4"/>
    </row>
    <row r="87" spans="3:12" ht="10.5" customHeight="1" x14ac:dyDescent="0.3">
      <c r="C87" s="4"/>
      <c r="D87" s="92" t="s">
        <v>70</v>
      </c>
      <c r="E87" s="92"/>
      <c r="F87" s="92"/>
      <c r="G87" s="106" t="s">
        <v>45</v>
      </c>
      <c r="H87" s="106"/>
      <c r="I87" s="34" t="s">
        <v>46</v>
      </c>
      <c r="J87" s="35" t="s">
        <v>47</v>
      </c>
      <c r="K87" s="4"/>
      <c r="L87" s="4"/>
    </row>
    <row r="88" spans="3:12" x14ac:dyDescent="0.3">
      <c r="C88" s="7"/>
      <c r="D88" s="7"/>
      <c r="E88" s="7"/>
      <c r="F88" s="7"/>
      <c r="G88" s="7"/>
      <c r="H88" s="7"/>
      <c r="I88" s="7"/>
      <c r="J88" s="2"/>
      <c r="K88" s="2"/>
      <c r="L88" s="2"/>
    </row>
    <row r="89" spans="3:12" ht="15" customHeight="1" x14ac:dyDescent="0.3">
      <c r="C89" s="78"/>
      <c r="D89" s="78"/>
      <c r="E89" s="78"/>
      <c r="F89" s="78"/>
      <c r="G89" s="78"/>
      <c r="H89" s="78"/>
      <c r="I89" s="78"/>
      <c r="J89" s="78"/>
      <c r="K89" s="78"/>
      <c r="L89" s="78"/>
    </row>
    <row r="90" spans="3:12" x14ac:dyDescent="0.3">
      <c r="C90" s="36"/>
      <c r="D90" s="37"/>
      <c r="E90" s="37"/>
      <c r="F90" s="37"/>
      <c r="G90" s="37"/>
      <c r="H90" s="37"/>
      <c r="I90" s="37"/>
      <c r="J90" s="37"/>
      <c r="K90" s="37"/>
      <c r="L90" s="37"/>
    </row>
    <row r="91" spans="3:12" ht="15.6" x14ac:dyDescent="0.3">
      <c r="C91" s="104" t="s">
        <v>71</v>
      </c>
      <c r="D91" s="104"/>
      <c r="E91" s="104"/>
      <c r="F91" s="105" t="s">
        <v>72</v>
      </c>
      <c r="G91" s="105"/>
      <c r="H91" s="107" t="s">
        <v>73</v>
      </c>
      <c r="I91" s="107"/>
      <c r="J91" s="105" t="s">
        <v>74</v>
      </c>
      <c r="K91" s="105"/>
      <c r="L91" s="105"/>
    </row>
    <row r="92" spans="3:12" x14ac:dyDescent="0.3">
      <c r="C92" s="2"/>
      <c r="D92" s="2"/>
      <c r="E92" s="2"/>
      <c r="F92" s="102"/>
      <c r="G92" s="102"/>
      <c r="H92" s="2"/>
      <c r="I92" s="2"/>
      <c r="J92" s="103" t="s">
        <v>74</v>
      </c>
      <c r="K92" s="103"/>
      <c r="L92" s="103"/>
    </row>
    <row r="93" spans="3:12" ht="15.6" x14ac:dyDescent="0.3">
      <c r="C93" s="104" t="s">
        <v>75</v>
      </c>
      <c r="D93" s="104"/>
      <c r="E93" s="104"/>
      <c r="F93" s="105" t="s">
        <v>76</v>
      </c>
      <c r="G93" s="105"/>
      <c r="H93" s="2"/>
      <c r="I93" s="2"/>
      <c r="J93" s="2"/>
      <c r="K93" s="2"/>
      <c r="L93" s="2"/>
    </row>
    <row r="94" spans="3:12" ht="15.6" x14ac:dyDescent="0.3">
      <c r="C94" s="38"/>
      <c r="D94" s="38"/>
      <c r="E94" s="38"/>
      <c r="F94" s="39"/>
      <c r="G94" s="39"/>
      <c r="H94" s="2"/>
      <c r="I94" s="2"/>
      <c r="J94" s="2"/>
      <c r="K94" s="2"/>
      <c r="L94" s="2"/>
    </row>
  </sheetData>
  <mergeCells count="121">
    <mergeCell ref="D86:G86"/>
    <mergeCell ref="H86:J86"/>
    <mergeCell ref="D77:J77"/>
    <mergeCell ref="I37:J37"/>
    <mergeCell ref="I38:J38"/>
    <mergeCell ref="I39:J39"/>
    <mergeCell ref="H30:I30"/>
    <mergeCell ref="H58:H59"/>
    <mergeCell ref="I59:J59"/>
    <mergeCell ref="E82:F82"/>
    <mergeCell ref="D84:E84"/>
    <mergeCell ref="F84:I84"/>
    <mergeCell ref="D85:G85"/>
    <mergeCell ref="H85:J85"/>
    <mergeCell ref="D78:F78"/>
    <mergeCell ref="G78:J78"/>
    <mergeCell ref="G79:J79"/>
    <mergeCell ref="E80:G80"/>
    <mergeCell ref="E81:G81"/>
    <mergeCell ref="D76:G76"/>
    <mergeCell ref="H76:I76"/>
    <mergeCell ref="H72:I72"/>
    <mergeCell ref="D66:G66"/>
    <mergeCell ref="D71:J71"/>
    <mergeCell ref="F92:G92"/>
    <mergeCell ref="J92:L92"/>
    <mergeCell ref="C93:E93"/>
    <mergeCell ref="F93:G93"/>
    <mergeCell ref="D87:F87"/>
    <mergeCell ref="G87:H87"/>
    <mergeCell ref="C89:L89"/>
    <mergeCell ref="C91:E91"/>
    <mergeCell ref="F91:G91"/>
    <mergeCell ref="H91:I91"/>
    <mergeCell ref="J91:L91"/>
    <mergeCell ref="C74:L74"/>
    <mergeCell ref="D75:E75"/>
    <mergeCell ref="F75:G75"/>
    <mergeCell ref="I75:J75"/>
    <mergeCell ref="D60:K60"/>
    <mergeCell ref="I58:J58"/>
    <mergeCell ref="D39:G39"/>
    <mergeCell ref="I36:J36"/>
    <mergeCell ref="H66:I66"/>
    <mergeCell ref="D67:G67"/>
    <mergeCell ref="H67:I67"/>
    <mergeCell ref="D68:G68"/>
    <mergeCell ref="H68:I68"/>
    <mergeCell ref="D69:G69"/>
    <mergeCell ref="H69:I69"/>
    <mergeCell ref="D70:G70"/>
    <mergeCell ref="H70:I70"/>
    <mergeCell ref="D64:G64"/>
    <mergeCell ref="H64:I64"/>
    <mergeCell ref="D65:G65"/>
    <mergeCell ref="H65:I65"/>
    <mergeCell ref="D63:G63"/>
    <mergeCell ref="H63:I63"/>
    <mergeCell ref="D59:G59"/>
    <mergeCell ref="D62:G62"/>
    <mergeCell ref="D22:G22"/>
    <mergeCell ref="H22:I22"/>
    <mergeCell ref="C1:L1"/>
    <mergeCell ref="C2:L2"/>
    <mergeCell ref="D8:E8"/>
    <mergeCell ref="D9:E9"/>
    <mergeCell ref="I10:K13"/>
    <mergeCell ref="C15:L15"/>
    <mergeCell ref="C16:L16"/>
    <mergeCell ref="D18:G18"/>
    <mergeCell ref="H18:L18"/>
    <mergeCell ref="D21:G21"/>
    <mergeCell ref="H21:I21"/>
    <mergeCell ref="D28:J28"/>
    <mergeCell ref="D30:G30"/>
    <mergeCell ref="D41:G41"/>
    <mergeCell ref="I41:J41"/>
    <mergeCell ref="D23:G23"/>
    <mergeCell ref="D31:G31"/>
    <mergeCell ref="I31:J31"/>
    <mergeCell ref="H23:I23"/>
    <mergeCell ref="D24:G24"/>
    <mergeCell ref="H24:I24"/>
    <mergeCell ref="D25:G25"/>
    <mergeCell ref="H25:I25"/>
    <mergeCell ref="D26:G26"/>
    <mergeCell ref="H26:I26"/>
    <mergeCell ref="D27:G27"/>
    <mergeCell ref="H27:I27"/>
    <mergeCell ref="F43:G43"/>
    <mergeCell ref="F50:G50"/>
    <mergeCell ref="K51:K55"/>
    <mergeCell ref="D45:G45"/>
    <mergeCell ref="D32:G32"/>
    <mergeCell ref="I32:J32"/>
    <mergeCell ref="D33:G33"/>
    <mergeCell ref="I33:J33"/>
    <mergeCell ref="D35:G35"/>
    <mergeCell ref="I35:J35"/>
    <mergeCell ref="D40:G40"/>
    <mergeCell ref="I40:J40"/>
    <mergeCell ref="D36:G36"/>
    <mergeCell ref="D37:G37"/>
    <mergeCell ref="D38:G38"/>
    <mergeCell ref="D34:G34"/>
    <mergeCell ref="I34:J34"/>
    <mergeCell ref="H44:H48"/>
    <mergeCell ref="I44:J48"/>
    <mergeCell ref="K44:K48"/>
    <mergeCell ref="D58:G58"/>
    <mergeCell ref="D46:G46"/>
    <mergeCell ref="D47:G47"/>
    <mergeCell ref="D51:G51"/>
    <mergeCell ref="D52:G52"/>
    <mergeCell ref="D53:G53"/>
    <mergeCell ref="D54:G54"/>
    <mergeCell ref="D55:G55"/>
    <mergeCell ref="H51:H55"/>
    <mergeCell ref="D44:G44"/>
    <mergeCell ref="I51:J55"/>
    <mergeCell ref="D48:G48"/>
  </mergeCells>
  <pageMargins left="1.1023622047244099" right="0.74803149606299213" top="0.62992125984252023" bottom="0.62992125984252023" header="0.31496062992126012" footer="0.31496062992126012"/>
  <pageSetup paperSize="0" orientation="portrait" horizontalDpi="0" verticalDpi="0" copies="0"/>
  <colBreaks count="1" manualBreakCount="1">
    <brk id="9" man="1"/>
  </colBreaks>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000-000000000000}">
          <x14:formula1>
            <xm:f>Sheet2!$B$2:$B$9</xm:f>
          </x14:formula1>
          <xm:sqref>H21</xm:sqref>
        </x14:dataValidation>
        <x14:dataValidation type="list" allowBlank="1" showInputMessage="1" xr:uid="{00000000-0002-0000-0000-000001000000}">
          <x14:formula1>
            <xm:f>Sheet2!$B$38:$B$47</xm:f>
          </x14:formula1>
          <xm:sqref>H62</xm:sqref>
        </x14:dataValidation>
        <x14:dataValidation type="list" allowBlank="1" showInputMessage="1" showErrorMessage="1" xr:uid="{00000000-0002-0000-0000-000002000000}">
          <x14:formula1>
            <xm:f>Sheet2!$A$11:$A$12</xm:f>
          </x14:formula1>
          <xm:sqref>H58 H31:H41 H51 H44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topLeftCell="A4" zoomScale="85" zoomScaleNormal="85" workbookViewId="0">
      <selection activeCell="E22" sqref="E22"/>
    </sheetView>
  </sheetViews>
  <sheetFormatPr defaultRowHeight="14.4" x14ac:dyDescent="0.3"/>
  <cols>
    <col min="1" max="1" width="42" bestFit="1" customWidth="1"/>
    <col min="2" max="2" width="47" customWidth="1"/>
    <col min="3" max="3" width="22.6640625" customWidth="1"/>
    <col min="4" max="4" width="16.44140625" customWidth="1"/>
    <col min="5" max="8" width="9.5546875" bestFit="1" customWidth="1"/>
    <col min="9" max="9" width="193.21875" customWidth="1"/>
    <col min="10" max="10" width="8.77734375" customWidth="1"/>
  </cols>
  <sheetData>
    <row r="1" spans="1:9" x14ac:dyDescent="0.3">
      <c r="C1" t="s">
        <v>77</v>
      </c>
      <c r="D1" s="40" t="s">
        <v>78</v>
      </c>
      <c r="E1" t="s">
        <v>79</v>
      </c>
      <c r="F1" t="s">
        <v>80</v>
      </c>
    </row>
    <row r="2" spans="1:9" x14ac:dyDescent="0.3">
      <c r="A2" s="41" t="s">
        <v>10</v>
      </c>
      <c r="B2" s="41" t="s">
        <v>10</v>
      </c>
      <c r="C2" s="41">
        <v>0</v>
      </c>
      <c r="D2" s="42">
        <v>0</v>
      </c>
      <c r="E2" s="42">
        <v>0</v>
      </c>
      <c r="F2" s="42">
        <v>0</v>
      </c>
      <c r="G2" s="42">
        <v>0</v>
      </c>
      <c r="H2" s="42">
        <v>0</v>
      </c>
      <c r="I2" s="42">
        <v>0</v>
      </c>
    </row>
    <row r="3" spans="1:9" x14ac:dyDescent="0.3">
      <c r="B3" t="s">
        <v>81</v>
      </c>
      <c r="C3">
        <v>0</v>
      </c>
      <c r="D3">
        <v>6000</v>
      </c>
      <c r="E3">
        <v>1</v>
      </c>
      <c r="F3">
        <v>5</v>
      </c>
      <c r="G3">
        <v>1000</v>
      </c>
      <c r="H3">
        <v>0</v>
      </c>
    </row>
    <row r="4" spans="1:9" x14ac:dyDescent="0.3">
      <c r="B4" t="s">
        <v>82</v>
      </c>
      <c r="C4">
        <v>0</v>
      </c>
      <c r="D4">
        <v>12000</v>
      </c>
      <c r="E4">
        <v>3</v>
      </c>
      <c r="F4">
        <v>15</v>
      </c>
      <c r="G4">
        <v>1000</v>
      </c>
      <c r="H4">
        <v>0</v>
      </c>
    </row>
    <row r="5" spans="1:9" x14ac:dyDescent="0.3">
      <c r="B5" t="s">
        <v>83</v>
      </c>
      <c r="C5">
        <v>0</v>
      </c>
      <c r="D5">
        <v>20000</v>
      </c>
      <c r="E5">
        <v>5</v>
      </c>
      <c r="F5">
        <v>30</v>
      </c>
      <c r="G5">
        <v>1000</v>
      </c>
      <c r="H5">
        <v>0</v>
      </c>
    </row>
    <row r="6" spans="1:9" x14ac:dyDescent="0.3">
      <c r="B6" t="s">
        <v>84</v>
      </c>
      <c r="C6">
        <v>0</v>
      </c>
      <c r="D6">
        <v>32000</v>
      </c>
      <c r="E6">
        <v>10</v>
      </c>
      <c r="F6">
        <v>50</v>
      </c>
      <c r="G6">
        <v>1000</v>
      </c>
      <c r="H6">
        <v>0</v>
      </c>
    </row>
    <row r="7" spans="1:9" x14ac:dyDescent="0.3">
      <c r="B7" t="s">
        <v>85</v>
      </c>
      <c r="C7">
        <v>0</v>
      </c>
      <c r="D7">
        <v>50000</v>
      </c>
      <c r="E7">
        <v>15</v>
      </c>
      <c r="F7">
        <v>80</v>
      </c>
      <c r="G7">
        <v>1000</v>
      </c>
      <c r="H7">
        <v>0</v>
      </c>
    </row>
    <row r="8" spans="1:9" x14ac:dyDescent="0.3">
      <c r="B8" t="s">
        <v>86</v>
      </c>
      <c r="C8">
        <v>0</v>
      </c>
      <c r="D8">
        <v>93000</v>
      </c>
      <c r="E8">
        <v>30</v>
      </c>
      <c r="F8">
        <v>150</v>
      </c>
      <c r="G8">
        <v>1000</v>
      </c>
      <c r="H8">
        <v>0</v>
      </c>
    </row>
    <row r="9" spans="1:9" x14ac:dyDescent="0.3">
      <c r="B9" t="s">
        <v>87</v>
      </c>
      <c r="C9">
        <v>0</v>
      </c>
      <c r="D9">
        <v>123000</v>
      </c>
      <c r="E9">
        <v>40</v>
      </c>
      <c r="F9">
        <v>200</v>
      </c>
      <c r="G9">
        <v>1000</v>
      </c>
      <c r="H9">
        <v>0</v>
      </c>
    </row>
    <row r="10" spans="1:9" x14ac:dyDescent="0.3">
      <c r="A10" s="41"/>
    </row>
    <row r="11" spans="1:9" x14ac:dyDescent="0.3">
      <c r="A11" t="s">
        <v>88</v>
      </c>
      <c r="B11" t="s">
        <v>89</v>
      </c>
      <c r="C11" t="s">
        <v>90</v>
      </c>
    </row>
    <row r="12" spans="1:9" x14ac:dyDescent="0.3">
      <c r="A12" t="s">
        <v>23</v>
      </c>
      <c r="B12" t="s">
        <v>91</v>
      </c>
      <c r="C12" t="s">
        <v>92</v>
      </c>
    </row>
    <row r="13" spans="1:9" x14ac:dyDescent="0.3">
      <c r="B13" t="s">
        <v>93</v>
      </c>
    </row>
    <row r="14" spans="1:9" x14ac:dyDescent="0.3">
      <c r="B14" t="s">
        <v>94</v>
      </c>
    </row>
    <row r="15" spans="1:9" x14ac:dyDescent="0.3">
      <c r="B15" t="s">
        <v>95</v>
      </c>
    </row>
    <row r="16" spans="1:9" x14ac:dyDescent="0.3">
      <c r="B16" t="s">
        <v>96</v>
      </c>
    </row>
    <row r="17" spans="2:2" x14ac:dyDescent="0.3">
      <c r="B17" t="s">
        <v>122</v>
      </c>
    </row>
    <row r="18" spans="2:2" x14ac:dyDescent="0.3">
      <c r="B18" t="s">
        <v>123</v>
      </c>
    </row>
    <row r="19" spans="2:2" x14ac:dyDescent="0.3">
      <c r="B19" t="s">
        <v>124</v>
      </c>
    </row>
    <row r="20" spans="2:2" x14ac:dyDescent="0.3">
      <c r="B20" t="s">
        <v>125</v>
      </c>
    </row>
    <row r="21" spans="2:2" x14ac:dyDescent="0.3">
      <c r="B21" t="s">
        <v>126</v>
      </c>
    </row>
    <row r="22" spans="2:2" x14ac:dyDescent="0.3">
      <c r="B22" s="49" t="s">
        <v>128</v>
      </c>
    </row>
    <row r="23" spans="2:2" x14ac:dyDescent="0.3">
      <c r="B23" t="s">
        <v>133</v>
      </c>
    </row>
    <row r="34" spans="1:9" s="43" customFormat="1" ht="409.6" x14ac:dyDescent="0.3">
      <c r="B34" s="43" t="s">
        <v>97</v>
      </c>
      <c r="C34" s="44" t="s">
        <v>98</v>
      </c>
    </row>
    <row r="37" spans="1:9" s="40" customFormat="1" x14ac:dyDescent="0.3">
      <c r="C37" s="40" t="s">
        <v>78</v>
      </c>
      <c r="D37" s="40" t="s">
        <v>99</v>
      </c>
      <c r="E37" s="40" t="s">
        <v>100</v>
      </c>
      <c r="F37" s="40" t="s">
        <v>101</v>
      </c>
      <c r="G37" s="40" t="s">
        <v>102</v>
      </c>
      <c r="H37" s="40" t="s">
        <v>103</v>
      </c>
    </row>
    <row r="38" spans="1:9" x14ac:dyDescent="0.3">
      <c r="A38" s="41" t="s">
        <v>10</v>
      </c>
      <c r="B38" s="41" t="s">
        <v>10</v>
      </c>
      <c r="C38" s="42">
        <v>0</v>
      </c>
      <c r="D38" s="42">
        <v>0</v>
      </c>
      <c r="E38" s="42">
        <v>0</v>
      </c>
      <c r="F38" s="42">
        <v>0</v>
      </c>
      <c r="G38" s="42">
        <v>0</v>
      </c>
      <c r="H38" s="42">
        <v>0</v>
      </c>
      <c r="I38" s="42"/>
    </row>
    <row r="39" spans="1:9" ht="72" x14ac:dyDescent="0.3">
      <c r="A39" s="42"/>
      <c r="B39" s="42" t="s">
        <v>104</v>
      </c>
      <c r="C39" s="42">
        <v>5000</v>
      </c>
      <c r="D39" s="42">
        <v>555</v>
      </c>
      <c r="E39" s="42">
        <v>0</v>
      </c>
      <c r="F39" s="42">
        <v>11</v>
      </c>
      <c r="G39" s="42">
        <v>11</v>
      </c>
      <c r="H39" s="42">
        <v>17</v>
      </c>
      <c r="I39" s="42" t="s">
        <v>105</v>
      </c>
    </row>
    <row r="40" spans="1:9" ht="72" x14ac:dyDescent="0.3">
      <c r="A40" s="42"/>
      <c r="B40" s="42" t="s">
        <v>106</v>
      </c>
      <c r="C40" s="42">
        <v>10000</v>
      </c>
      <c r="D40" s="42">
        <v>1250</v>
      </c>
      <c r="E40" s="42">
        <v>0</v>
      </c>
      <c r="F40" s="42">
        <v>11</v>
      </c>
      <c r="G40" s="42">
        <v>11</v>
      </c>
      <c r="H40" s="42">
        <v>17</v>
      </c>
      <c r="I40" s="42" t="s">
        <v>105</v>
      </c>
    </row>
    <row r="41" spans="1:9" ht="72" x14ac:dyDescent="0.3">
      <c r="A41" s="42"/>
      <c r="B41" s="42" t="s">
        <v>107</v>
      </c>
      <c r="C41" s="42">
        <v>30000</v>
      </c>
      <c r="D41" s="45">
        <v>4000</v>
      </c>
      <c r="E41" s="42">
        <v>0</v>
      </c>
      <c r="F41" s="42">
        <v>11</v>
      </c>
      <c r="G41" s="42">
        <v>11</v>
      </c>
      <c r="H41" s="42">
        <v>17</v>
      </c>
      <c r="I41" s="42" t="s">
        <v>105</v>
      </c>
    </row>
    <row r="42" spans="1:9" ht="72" x14ac:dyDescent="0.3">
      <c r="A42" s="42"/>
      <c r="B42" s="42" t="s">
        <v>108</v>
      </c>
      <c r="C42" s="42">
        <v>50000</v>
      </c>
      <c r="D42" s="45">
        <v>7000</v>
      </c>
      <c r="E42" s="42">
        <v>0</v>
      </c>
      <c r="F42" s="42">
        <v>11</v>
      </c>
      <c r="G42" s="42">
        <v>11</v>
      </c>
      <c r="H42" s="42">
        <v>17</v>
      </c>
      <c r="I42" s="42" t="s">
        <v>105</v>
      </c>
    </row>
    <row r="43" spans="1:9" ht="72" x14ac:dyDescent="0.3">
      <c r="A43" s="42"/>
      <c r="B43" s="42" t="s">
        <v>109</v>
      </c>
      <c r="C43" s="42">
        <v>150000</v>
      </c>
      <c r="D43" s="45">
        <v>20000</v>
      </c>
      <c r="E43" s="42">
        <v>0</v>
      </c>
      <c r="F43" s="42">
        <v>10.5</v>
      </c>
      <c r="G43" s="42">
        <v>10.5</v>
      </c>
      <c r="H43" s="42">
        <v>17</v>
      </c>
      <c r="I43" s="42" t="s">
        <v>105</v>
      </c>
    </row>
    <row r="44" spans="1:9" ht="72" x14ac:dyDescent="0.3">
      <c r="A44" s="42"/>
      <c r="B44" s="42" t="s">
        <v>110</v>
      </c>
      <c r="C44" s="42">
        <v>200000</v>
      </c>
      <c r="D44" s="45">
        <v>28571</v>
      </c>
      <c r="E44" s="42">
        <v>0</v>
      </c>
      <c r="F44" s="42">
        <v>10.5</v>
      </c>
      <c r="G44" s="42">
        <v>10.5</v>
      </c>
      <c r="H44" s="42">
        <v>17</v>
      </c>
      <c r="I44" s="42" t="s">
        <v>105</v>
      </c>
    </row>
    <row r="45" spans="1:9" ht="72" x14ac:dyDescent="0.3">
      <c r="A45" s="42"/>
      <c r="B45" s="42" t="s">
        <v>111</v>
      </c>
      <c r="C45" s="42">
        <v>600000</v>
      </c>
      <c r="D45" s="45">
        <v>85714</v>
      </c>
      <c r="E45" s="42">
        <v>0</v>
      </c>
      <c r="F45" s="42">
        <v>10</v>
      </c>
      <c r="G45" s="42">
        <v>10</v>
      </c>
      <c r="H45" s="42">
        <v>17</v>
      </c>
      <c r="I45" s="42" t="s">
        <v>105</v>
      </c>
    </row>
    <row r="46" spans="1:9" ht="72" x14ac:dyDescent="0.3">
      <c r="A46" s="42"/>
      <c r="B46" s="42" t="s">
        <v>112</v>
      </c>
      <c r="C46" s="42">
        <v>700000</v>
      </c>
      <c r="D46" s="45">
        <v>100000</v>
      </c>
      <c r="E46" s="42">
        <v>0</v>
      </c>
      <c r="F46" s="42">
        <v>9</v>
      </c>
      <c r="G46" s="42">
        <v>9</v>
      </c>
      <c r="H46" s="42">
        <v>17</v>
      </c>
      <c r="I46" s="42" t="s">
        <v>105</v>
      </c>
    </row>
    <row r="47" spans="1:9" ht="72" x14ac:dyDescent="0.3">
      <c r="A47" s="42"/>
      <c r="B47" s="42" t="s">
        <v>113</v>
      </c>
      <c r="C47" s="42">
        <v>1000000</v>
      </c>
      <c r="D47" s="45">
        <v>142857</v>
      </c>
      <c r="E47" s="42">
        <v>0</v>
      </c>
      <c r="F47" s="42">
        <v>9</v>
      </c>
      <c r="G47" s="42">
        <v>9</v>
      </c>
      <c r="H47" s="42">
        <v>17</v>
      </c>
      <c r="I47" s="42" t="s">
        <v>105</v>
      </c>
    </row>
    <row r="48" spans="1:9" x14ac:dyDescent="0.3">
      <c r="I48" s="42"/>
    </row>
    <row r="49" spans="1:9" x14ac:dyDescent="0.3">
      <c r="A49" s="46" t="s">
        <v>10</v>
      </c>
      <c r="I49" s="42"/>
    </row>
    <row r="50" spans="1:9" x14ac:dyDescent="0.3">
      <c r="A50" t="s">
        <v>114</v>
      </c>
      <c r="I50" s="42"/>
    </row>
    <row r="51" spans="1:9" x14ac:dyDescent="0.3">
      <c r="A51" t="s">
        <v>115</v>
      </c>
    </row>
  </sheetData>
  <pageMargins left="0.70000000000000007" right="0.70000000000000007" top="0.75" bottom="0.75" header="0.30000000000000004" footer="0.30000000000000004"/>
  <pageSetup paperSize="0" fitToWidth="0" fitToHeight="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Документ" ma:contentTypeID="0x010100BB748690335E3F45B6D32F35E393220A" ma:contentTypeVersion="0" ma:contentTypeDescription="Создание документа." ma:contentTypeScope="" ma:versionID="79695b7229812c3da6832a15d046d42a">
  <xsd:schema xmlns:xsd="http://www.w3.org/2001/XMLSchema" xmlns:xs="http://www.w3.org/2001/XMLSchema" xmlns:p="http://schemas.microsoft.com/office/2006/metadata/properties" targetNamespace="http://schemas.microsoft.com/office/2006/metadata/properties" ma:root="true" ma:fieldsID="ad3e22c7cd2c031952bb0ace1fddabb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644EE5-12B6-4E5C-BD2F-15CDAD6FD77A}">
  <ds:schemaRefs>
    <ds:schemaRef ds:uri="http://schemas.microsoft.com/sharepoint/v3/contenttype/forms"/>
  </ds:schemaRefs>
</ds:datastoreItem>
</file>

<file path=customXml/itemProps2.xml><?xml version="1.0" encoding="utf-8"?>
<ds:datastoreItem xmlns:ds="http://schemas.openxmlformats.org/officeDocument/2006/customXml" ds:itemID="{5436081C-3563-487B-AFDE-BDAD241B0214}">
  <ds:schemaRefs>
    <ds:schemaRef ds:uri="http://schemas.microsoft.com/office/infopath/2007/PartnerControls"/>
    <ds:schemaRef ds:uri="http://schemas.openxmlformats.org/package/2006/metadata/core-properties"/>
    <ds:schemaRef ds:uri="http://www.w3.org/XML/1998/namespace"/>
    <ds:schemaRef ds:uri="http://purl.org/dc/terms/"/>
    <ds:schemaRef ds:uri="http://schemas.microsoft.com/office/2006/documentManagement/type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5DFDCFB8-D394-4B0A-BF58-445964C4EB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Заявление_Виртуальная_АТС</vt:lpstr>
      <vt:lpstr>Sheet2</vt:lpstr>
      <vt:lpstr>Заявление_Виртуальная_АТС!Область_печати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Заявление на ВАТС 2025</dc:title>
  <dc:subject/>
  <dc:creator>Vladimir Kim</dc:creator>
  <dc:description/>
  <cp:lastModifiedBy>Alexandr Murdassov</cp:lastModifiedBy>
  <dcterms:created xsi:type="dcterms:W3CDTF">2016-01-20T04:20:43Z</dcterms:created>
  <dcterms:modified xsi:type="dcterms:W3CDTF">2025-12-02T06:58:42Z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0x010100BB748690335E3F45B6D32F35E393220A</vt:lpwstr>
  </property>
  <property fmtid="{D5CDD505-2E9C-101B-9397-08002B2CF9AE}" pid="3" name="MSIP_Label_9cdd97af-22dc-49fa-ac47-e24224ce56c4_Enabled">
    <vt:lpwstr>true</vt:lpwstr>
  </property>
  <property fmtid="{D5CDD505-2E9C-101B-9397-08002B2CF9AE}" pid="4" name="MSIP_Label_9cdd97af-22dc-49fa-ac47-e24224ce56c4_SetDate">
    <vt:lpwstr>2025-04-22T08:36:22Z</vt:lpwstr>
  </property>
  <property fmtid="{D5CDD505-2E9C-101B-9397-08002B2CF9AE}" pid="5" name="MSIP_Label_9cdd97af-22dc-49fa-ac47-e24224ce56c4_Method">
    <vt:lpwstr>Standard</vt:lpwstr>
  </property>
  <property fmtid="{D5CDD505-2E9C-101B-9397-08002B2CF9AE}" pid="6" name="MSIP_Label_9cdd97af-22dc-49fa-ac47-e24224ce56c4_Name">
    <vt:lpwstr>General</vt:lpwstr>
  </property>
  <property fmtid="{D5CDD505-2E9C-101B-9397-08002B2CF9AE}" pid="7" name="MSIP_Label_9cdd97af-22dc-49fa-ac47-e24224ce56c4_SiteId">
    <vt:lpwstr>41149801-8e93-4eae-a438-1ff037fd4bdc</vt:lpwstr>
  </property>
  <property fmtid="{D5CDD505-2E9C-101B-9397-08002B2CF9AE}" pid="8" name="MSIP_Label_9cdd97af-22dc-49fa-ac47-e24224ce56c4_ActionId">
    <vt:lpwstr>c6ba992e-3117-463f-b830-0deff046c49a</vt:lpwstr>
  </property>
  <property fmtid="{D5CDD505-2E9C-101B-9397-08002B2CF9AE}" pid="9" name="MSIP_Label_9cdd97af-22dc-49fa-ac47-e24224ce56c4_ContentBits">
    <vt:lpwstr>0</vt:lpwstr>
  </property>
  <property fmtid="{D5CDD505-2E9C-101B-9397-08002B2CF9AE}" pid="10" name="MSIP_Label_9cdd97af-22dc-49fa-ac47-e24224ce56c4_Tag">
    <vt:lpwstr>10, 3, 0, 1</vt:lpwstr>
  </property>
</Properties>
</file>